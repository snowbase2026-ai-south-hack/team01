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етрики_качества" sheetId="1" state="visible" r:id="rId3"/>
    <sheet name="История_деградации" sheetId="2" state="visible" r:id="rId4"/>
    <sheet name="Инфраструктура" sheetId="3" state="visible" r:id="rId5"/>
    <sheet name="Ретрейн_и_сценарии" sheetId="4" state="visible" r:id="rId6"/>
    <sheet name="Ключи_ML_ассистент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<sst xmlns="http://schemas.openxmlformats.org/spreadsheetml/2006/main" count="577" uniqueCount="487">
  <si>
    <t xml:space="preserve">BigTechGroup — ML-модель персонализации: метрики качества</t>
  </si>
  <si>
    <t xml:space="preserve">Рекомендательная система | Синтетические данные | Март 2026</t>
  </si>
  <si>
    <t xml:space="preserve">1.1 Основные метрики качества рекомендательной системы</t>
  </si>
  <si>
    <t xml:space="preserve">Метрика</t>
  </si>
  <si>
    <t xml:space="preserve">Пилот Q1'25</t>
  </si>
  <si>
    <t xml:space="preserve">Q2'25</t>
  </si>
  <si>
    <t xml:space="preserve">Q3'25</t>
  </si>
  <si>
    <t xml:space="preserve">Q4'25</t>
  </si>
  <si>
    <t xml:space="preserve">Q1'26 (факт)</t>
  </si>
  <si>
    <t xml:space="preserve">Комментарий</t>
  </si>
  <si>
    <t xml:space="preserve">Precision@10</t>
  </si>
  <si>
    <t xml:space="preserve">↓ Ниже порога 0.350. Деградация ускоряется</t>
  </si>
  <si>
    <t xml:space="preserve">Recall@10</t>
  </si>
  <si>
    <t xml:space="preserve">Стабильное снижение: −18% vs пилот</t>
  </si>
  <si>
    <t xml:space="preserve">NDCG@10</t>
  </si>
  <si>
    <t xml:space="preserve">Нормализованный дисконтированный кумулятивный выигрыш</t>
  </si>
  <si>
    <t xml:space="preserve">Hit Rate@10</t>
  </si>
  <si>
    <t xml:space="preserve">Доля пользователей с ≥1 релевантной рекомендацией</t>
  </si>
  <si>
    <t xml:space="preserve">MRR (Mean Reciprocal Rank)</t>
  </si>
  <si>
    <t xml:space="preserve">Качество ранжирования падает</t>
  </si>
  <si>
    <t xml:space="preserve">Coverage (% каталога)</t>
  </si>
  <si>
    <t xml:space="preserve">Модель «уходит» в популярные позиции</t>
  </si>
  <si>
    <t xml:space="preserve">Diversity (intra-list)</t>
  </si>
  <si>
    <t xml:space="preserve">Рекомендации становятся однороднее</t>
  </si>
  <si>
    <t xml:space="preserve">Novelty score</t>
  </si>
  <si>
    <t xml:space="preserve">Снижение разнообразия = меньше discovery</t>
  </si>
  <si>
    <t xml:space="preserve">Конверсия рек.→покупка</t>
  </si>
  <si>
    <t xml:space="preserve">Бизнес-метрика. −23% vs пилот</t>
  </si>
  <si>
    <t xml:space="preserve">CTR рекомендаций</t>
  </si>
  <si>
    <t xml:space="preserve">Click-through rate блока рекомендаций</t>
  </si>
  <si>
    <t xml:space="preserve">Доля ошибочных рекомендаций</t>
  </si>
  <si>
    <t xml:space="preserve">↑ Растёт. При масштабировании без ретрейна: ~32%</t>
  </si>
  <si>
    <t xml:space="preserve">⚑  Пороговое значение Precision@10 = 0.350. Текущее значение 0.341 — ниже порога. Решение о масштабировании принималось при Precision@10 = 0.412 (пилот).</t>
  </si>
  <si>
    <t xml:space="preserve">1.2 Деградация по сегментам клиентов (Precision@10, Q1'26 vs пилот)</t>
  </si>
  <si>
    <t xml:space="preserve">Сегмент</t>
  </si>
  <si>
    <t xml:space="preserve">Q1'26 факт</t>
  </si>
  <si>
    <t xml:space="preserve">Δ абс.</t>
  </si>
  <si>
    <t xml:space="preserve">Δ %</t>
  </si>
  <si>
    <t xml:space="preserve">Статус</t>
  </si>
  <si>
    <t xml:space="preserve">Причина деградации</t>
  </si>
  <si>
    <t xml:space="preserve">Новые клиенты (&lt; 3 мес.)</t>
  </si>
  <si>
    <t xml:space="preserve">✗</t>
  </si>
  <si>
    <t xml:space="preserve">Холодный старт + новое поведение после пандемии</t>
  </si>
  <si>
    <t xml:space="preserve">Активные клиенты (3–12 мес)</t>
  </si>
  <si>
    <t xml:space="preserve">Главный сегмент. Дрейф предпочтений</t>
  </si>
  <si>
    <t xml:space="preserve">Лояльные (&gt; 12 мес, LTV top)</t>
  </si>
  <si>
    <t xml:space="preserve">⚠</t>
  </si>
  <si>
    <t xml:space="preserve">Менее выраженная деградация</t>
  </si>
  <si>
    <t xml:space="preserve">Клиенты с редкими покупками</t>
  </si>
  <si>
    <t xml:space="preserve">Сильнейшая деградация — мало данных для модели</t>
  </si>
  <si>
    <t xml:space="preserve">Мобильное приложение</t>
  </si>
  <si>
    <t xml:space="preserve">Паттерн сессий изменился после редизайна</t>
  </si>
  <si>
    <t xml:space="preserve">Веб (десктоп)</t>
  </si>
  <si>
    <t xml:space="preserve">Продуктовые категории (fmcg)</t>
  </si>
  <si>
    <t xml:space="preserve">Лучший сегмент — стабильные паттерны</t>
  </si>
  <si>
    <t xml:space="preserve">Нон-фуд категории</t>
  </si>
  <si>
    <t xml:space="preserve">Сезонность не учтена в текущей модели</t>
  </si>
  <si>
    <t xml:space="preserve">BigTechGroup — История деградации модели (помесячно)</t>
  </si>
  <si>
    <t xml:space="preserve">Q1 2025 — Q1 2026 | Основные сигналы деградации и события</t>
  </si>
  <si>
    <t xml:space="preserve">Месяц</t>
  </si>
  <si>
    <t xml:space="preserve">Precision
@10</t>
  </si>
  <si>
    <t xml:space="preserve">Конверсия
рек.→покупка</t>
  </si>
  <si>
    <t xml:space="preserve">Доля
ошибок</t>
  </si>
  <si>
    <t xml:space="preserve">CTR
рек.</t>
  </si>
  <si>
    <t xml:space="preserve">Data
freshness, ч</t>
  </si>
  <si>
    <t xml:space="preserve">Inference
нагрузка, %</t>
  </si>
  <si>
    <t xml:space="preserve">Событие</t>
  </si>
  <si>
    <t xml:space="preserve">Q1'25</t>
  </si>
  <si>
    <t xml:space="preserve">Запуск пилота</t>
  </si>
  <si>
    <t xml:space="preserve">Базовая точка. Модель на свежих данных Q4'24</t>
  </si>
  <si>
    <t xml:space="preserve">Апр'25</t>
  </si>
  <si>
    <t xml:space="preserve">Первые признаки дрейфа: праздничный сезон</t>
  </si>
  <si>
    <t xml:space="preserve">Май'25</t>
  </si>
  <si>
    <t xml:space="preserve">⚠ Задержка ретрейна</t>
  </si>
  <si>
    <t xml:space="preserve">Переобучение отложено на 3 нед. из-за ресурсов</t>
  </si>
  <si>
    <t xml:space="preserve">Июн'25</t>
  </si>
  <si>
    <t xml:space="preserve">Дрейф ускоряется — летнее изменение паттернов</t>
  </si>
  <si>
    <t xml:space="preserve">Июл'25</t>
  </si>
  <si>
    <t xml:space="preserve">Ретрейн</t>
  </si>
  <si>
    <t xml:space="preserve">Переобучение проведено — частичное восстановление</t>
  </si>
  <si>
    <t xml:space="preserve">Авг'25</t>
  </si>
  <si>
    <t xml:space="preserve">Деградация возобновляется</t>
  </si>
  <si>
    <t xml:space="preserve">Сен'25</t>
  </si>
  <si>
    <t xml:space="preserve">⚠ Нет ретрейна</t>
  </si>
  <si>
    <t xml:space="preserve">Бюджет ML-команды исчерпан в Q3</t>
  </si>
  <si>
    <t xml:space="preserve">Окт'25</t>
  </si>
  <si>
    <t xml:space="preserve">Рост трафика +18%</t>
  </si>
  <si>
    <t xml:space="preserve">Осенний сезон — нагрузка растёт</t>
  </si>
  <si>
    <t xml:space="preserve">Ноя'25</t>
  </si>
  <si>
    <t xml:space="preserve">⚠ Black Friday</t>
  </si>
  <si>
    <t xml:space="preserve">Пиковая нагрузка. Inference latency +340%</t>
  </si>
  <si>
    <t xml:space="preserve">Дек'25</t>
  </si>
  <si>
    <t xml:space="preserve">Новогодний пик</t>
  </si>
  <si>
    <t xml:space="preserve">Freshness упала до 12.8 ч — данные устаревают</t>
  </si>
  <si>
    <t xml:space="preserve">Янв'26</t>
  </si>
  <si>
    <t xml:space="preserve">⚠ Порог близок</t>
  </si>
  <si>
    <t xml:space="preserve">Precision@10 приближается к порогу 0.350</t>
  </si>
  <si>
    <t xml:space="preserve">Фев'26</t>
  </si>
  <si>
    <t xml:space="preserve">✗ Порог нарушен</t>
  </si>
  <si>
    <t xml:space="preserve">Precision@10 = 0.347 — ниже порога 0.350</t>
  </si>
  <si>
    <t xml:space="preserve">Мар'26 (факт)</t>
  </si>
  <si>
    <t xml:space="preserve">Текущий момент</t>
  </si>
  <si>
    <t xml:space="preserve">Принятие решения о масштабировании</t>
  </si>
  <si>
    <t xml:space="preserve">ИТОГО: ИЗМЕНЕНИЕ ЗА ПЕРИОД Q1'25 → Q1'26</t>
  </si>
  <si>
    <t xml:space="preserve">Δ абсолютное</t>
  </si>
  <si>
    <t xml:space="preserve">Δ относительное</t>
  </si>
  <si>
    <t xml:space="preserve">⚑  При масштабировании без переобучения: деградация ускорится пропорционально объёму. ML-команда: доля ошибочных рекомендаций вырастет до ~32% (текущие 22.8% × коэф. масштаба).</t>
  </si>
  <si>
    <t xml:space="preserve">BigTechGroup — Инфраструктура ML-системы: нагрузка и ограничения</t>
  </si>
  <si>
    <t xml:space="preserve">Inference | Data pipeline | Обучение | Пороги и прогнозы при масштабировании</t>
  </si>
  <si>
    <t xml:space="preserve">3.1 INFERENCE (ОБСЛУЖИВАНИЕ ЗАПРОСОВ)</t>
  </si>
  <si>
    <t xml:space="preserve">Параметр</t>
  </si>
  <si>
    <t xml:space="preserve">Норматив</t>
  </si>
  <si>
    <t xml:space="preserve">Факт Q1'26</t>
  </si>
  <si>
    <t xml:space="preserve">При ×2 охвата</t>
  </si>
  <si>
    <t xml:space="preserve">При ×3 охвата (федер.)</t>
  </si>
  <si>
    <t xml:space="preserve">Загрузка серверов (avg)</t>
  </si>
  <si>
    <t xml:space="preserve">&lt; 70%</t>
  </si>
  <si>
    <t xml:space="preserve">Пик &gt;100% при ×3 — прямое падение системы</t>
  </si>
  <si>
    <t xml:space="preserve">Загрузка серверов (peak)</t>
  </si>
  <si>
    <t xml:space="preserve">&lt; 85%</t>
  </si>
  <si>
    <t xml:space="preserve">Уже превышает норматив в пиках</t>
  </si>
  <si>
    <t xml:space="preserve">Latency P50, мс</t>
  </si>
  <si>
    <t xml:space="preserve">&lt; 120 мс</t>
  </si>
  <si>
    <t xml:space="preserve">При ×3 — выходит за допустимый UX порог</t>
  </si>
  <si>
    <t xml:space="preserve">Latency P99, мс</t>
  </si>
  <si>
    <t xml:space="preserve">&lt; 500 мс</t>
  </si>
  <si>
    <t xml:space="preserve">P99 &gt; 500 мс при ×2 — деградация UX</t>
  </si>
  <si>
    <t xml:space="preserve">Throughput, req/sec</t>
  </si>
  <si>
    <t xml:space="preserve">≥ 8 000</t>
  </si>
  <si>
    <t xml:space="preserve">Текущий throughput ниже нормы. ×3 — критически</t>
  </si>
  <si>
    <t xml:space="preserve">Кол-во inference-серверов</t>
  </si>
  <si>
    <t xml:space="preserve">—</t>
  </si>
  <si>
    <t xml:space="preserve">Не масштабировали с пилота. Нужно ×2.5 минимум</t>
  </si>
  <si>
    <t xml:space="preserve">Кэш-hit rate рекомендаций</t>
  </si>
  <si>
    <t xml:space="preserve">&gt; 45%</t>
  </si>
  <si>
    <t xml:space="preserve">Падает: модель выдаёт уникальные результаты реже</t>
  </si>
  <si>
    <t xml:space="preserve">Доступность системы (uptime)</t>
  </si>
  <si>
    <t xml:space="preserve">≥ 99.5%</t>
  </si>
  <si>
    <t xml:space="preserve">3 инцидента в Q1'26 — связаны с перегрузкой</t>
  </si>
  <si>
    <t xml:space="preserve">3.2 DATA PIPELINE (СВЕЖЕСТЬ ДАННЫХ)</t>
  </si>
  <si>
    <t xml:space="preserve">Тренд 6 мес.</t>
  </si>
  <si>
    <t xml:space="preserve">Риск при масштабировании</t>
  </si>
  <si>
    <t xml:space="preserve">Data freshness (задержка данных)</t>
  </si>
  <si>
    <t xml:space="preserve">&lt; 4 ч</t>
  </si>
  <si>
    <t xml:space="preserve">18 ч</t>
  </si>
  <si>
    <t xml:space="preserve">↑ +14 ч за 6 мес.</t>
  </si>
  <si>
    <t xml:space="preserve">Устаревшие данные = нерелевантные рекомендации</t>
  </si>
  <si>
    <t xml:space="preserve">Ключевая причина деградации модели</t>
  </si>
  <si>
    <t xml:space="preserve">Feature pipeline latency</t>
  </si>
  <si>
    <t xml:space="preserve">&lt; 2 ч</t>
  </si>
  <si>
    <t xml:space="preserve">6.4 ч</t>
  </si>
  <si>
    <t xml:space="preserve">↑</t>
  </si>
  <si>
    <t xml:space="preserve">При ×3 данных — пайплайн не успевает</t>
  </si>
  <si>
    <t xml:space="preserve">Кол-во обрабатываемых событий/сек</t>
  </si>
  <si>
    <t xml:space="preserve">≥ 50K</t>
  </si>
  <si>
    <t xml:space="preserve">31K</t>
  </si>
  <si>
    <t xml:space="preserve">↓</t>
  </si>
  <si>
    <t xml:space="preserve">При масштабировании нужно ≥ 90K</t>
  </si>
  <si>
    <t xml:space="preserve">Текущий Kafka кластер не справляется</t>
  </si>
  <si>
    <t xml:space="preserve">Доля событий с потерями (data loss)</t>
  </si>
  <si>
    <t xml:space="preserve">&lt; 0.1%</t>
  </si>
  <si>
    <t xml:space="preserve">1.8%</t>
  </si>
  <si>
    <t xml:space="preserve">Потери данных → слепые пятна в модели</t>
  </si>
  <si>
    <t xml:space="preserve">Обновление embedding'ов пользователей</t>
  </si>
  <si>
    <t xml:space="preserve">Ежедневно</t>
  </si>
  <si>
    <t xml:space="preserve">Раз в 3 дня</t>
  </si>
  <si>
    <t xml:space="preserve">↑ деградация</t>
  </si>
  <si>
    <t xml:space="preserve">Устаревшие векторы = неактуальный профиль</t>
  </si>
  <si>
    <t xml:space="preserve">Обновление item features</t>
  </si>
  <si>
    <t xml:space="preserve">Стабильно</t>
  </si>
  <si>
    <t xml:space="preserve">OK при текущем масштабе</t>
  </si>
  <si>
    <t xml:space="preserve">✓</t>
  </si>
  <si>
    <t xml:space="preserve">Покрытие данными (% активных юзеров)</t>
  </si>
  <si>
    <t xml:space="preserve">&gt; 95%</t>
  </si>
  <si>
    <t xml:space="preserve">87%</t>
  </si>
  <si>
    <t xml:space="preserve">13% клиентов вообще не получают персонализацию</t>
  </si>
  <si>
    <t xml:space="preserve">3.3 ОБУЧЕНИЕ МОДЕЛИ (TRAINING)</t>
  </si>
  <si>
    <t xml:space="preserve">Текущий факт</t>
  </si>
  <si>
    <t xml:space="preserve">Необходимо для масштаба</t>
  </si>
  <si>
    <t xml:space="preserve">Дельта</t>
  </si>
  <si>
    <t xml:space="preserve">Стоимость</t>
  </si>
  <si>
    <t xml:space="preserve">Срок</t>
  </si>
  <si>
    <t xml:space="preserve">Частота переобучения</t>
  </si>
  <si>
    <t xml:space="preserve">Раз в 6–8 нед.</t>
  </si>
  <si>
    <t xml:space="preserve">Раз в 2–3 нед.</t>
  </si>
  <si>
    <t xml:space="preserve">×3</t>
  </si>
  <si>
    <t xml:space="preserve">При деградации нужен более частый цикл</t>
  </si>
  <si>
    <t xml:space="preserve">Длительность обучения</t>
  </si>
  <si>
    <t xml:space="preserve">38 ч</t>
  </si>
  <si>
    <t xml:space="preserve">При полном датасете. Не узкое место</t>
  </si>
  <si>
    <t xml:space="preserve">GPU-часов на полный ретрейн</t>
  </si>
  <si>
    <t xml:space="preserve">1 440 GPU-ч</t>
  </si>
  <si>
    <t xml:space="preserve">2 800 GPU-ч</t>
  </si>
  <si>
    <t xml:space="preserve">+94%</t>
  </si>
  <si>
    <t xml:space="preserve">~4.2 млн ₽/цикл</t>
  </si>
  <si>
    <t xml:space="preserve">Рост из-за большего объёма данных</t>
  </si>
  <si>
    <t xml:space="preserve">Кол-во GPU (обучение)</t>
  </si>
  <si>
    <t xml:space="preserve">8 × A100</t>
  </si>
  <si>
    <t xml:space="preserve">16–20 × A100</t>
  </si>
  <si>
    <t xml:space="preserve">+100–150%</t>
  </si>
  <si>
    <t xml:space="preserve">+12–18 млн ₽ CAPEX</t>
  </si>
  <si>
    <t xml:space="preserve">3–4 мес. закупка</t>
  </si>
  <si>
    <t xml:space="preserve">Длинный цикл поставки GPU в РФ</t>
  </si>
  <si>
    <t xml:space="preserve">Стоимость ретрейна, млн ₽/цикл</t>
  </si>
  <si>
    <t xml:space="preserve">4.2</t>
  </si>
  <si>
    <t xml:space="preserve">6.8</t>
  </si>
  <si>
    <t xml:space="preserve">+62%</t>
  </si>
  <si>
    <t xml:space="preserve">Стоимость ретрейна, млн ₽/год (×12 цикл.)</t>
  </si>
  <si>
    <t xml:space="preserve">При ежемесячном цикле переобучения</t>
  </si>
  <si>
    <t xml:space="preserve">Online learning (инкрементальное)</t>
  </si>
  <si>
    <t xml:space="preserve">Нет</t>
  </si>
  <si>
    <t xml:space="preserve">Нужно</t>
  </si>
  <si>
    <t xml:space="preserve">~15–20 млн ₽ разработка</t>
  </si>
  <si>
    <t xml:space="preserve">6–9 мес.</t>
  </si>
  <si>
    <t xml:space="preserve">Позволит сократить деградацию</t>
  </si>
  <si>
    <t xml:space="preserve">A/B тестирование (параллельные модели)</t>
  </si>
  <si>
    <t xml:space="preserve">Ограниченно</t>
  </si>
  <si>
    <t xml:space="preserve">Полный фреймворк</t>
  </si>
  <si>
    <t xml:space="preserve">~5 млн ₽</t>
  </si>
  <si>
    <t xml:space="preserve">2–3 мес.</t>
  </si>
  <si>
    <t xml:space="preserve">Сейчас нет возможности тестировать изменения</t>
  </si>
  <si>
    <t xml:space="preserve">3.4 ЧТО НУЖНО ДЛЯ МАСШТАБИРОВАНИЯ: СВОДКА</t>
  </si>
  <si>
    <t xml:space="preserve">Компонент</t>
  </si>
  <si>
    <t xml:space="preserve">Текущее состояние</t>
  </si>
  <si>
    <t xml:space="preserve">Требуется</t>
  </si>
  <si>
    <t xml:space="preserve">CAPEX, млн ₽</t>
  </si>
  <si>
    <t xml:space="preserve">Блокер?</t>
  </si>
  <si>
    <t xml:space="preserve">Inference серверы (×2.5)</t>
  </si>
  <si>
    <t xml:space="preserve">12 серверов</t>
  </si>
  <si>
    <t xml:space="preserve">28–30 серверов</t>
  </si>
  <si>
    <t xml:space="preserve">✗ ДА</t>
  </si>
  <si>
    <t xml:space="preserve">Без этого система упадёт при федеральном запуске</t>
  </si>
  <si>
    <t xml:space="preserve">GPU для обучения (×2)</t>
  </si>
  <si>
    <t xml:space="preserve">3–4 мес.</t>
  </si>
  <si>
    <t xml:space="preserve">Длинный цикл поставки — начинать немедленно</t>
  </si>
  <si>
    <t xml:space="preserve">Kafka/data pipeline расширение</t>
  </si>
  <si>
    <t xml:space="preserve">31K events/s</t>
  </si>
  <si>
    <t xml:space="preserve">90K+ events/s</t>
  </si>
  <si>
    <t xml:space="preserve">1–2 мес.</t>
  </si>
  <si>
    <t xml:space="preserve">✓ нет</t>
  </si>
  <si>
    <t xml:space="preserve">Решаемо быстро</t>
  </si>
  <si>
    <t xml:space="preserve">Data freshness оптимизация</t>
  </si>
  <si>
    <t xml:space="preserve">18 ч задержка</t>
  </si>
  <si>
    <t xml:space="preserve">6–8 нед.</t>
  </si>
  <si>
    <t xml:space="preserve">Требует рефакторинга пайплайна</t>
  </si>
  <si>
    <t xml:space="preserve">Переобучение (первый цикл)</t>
  </si>
  <si>
    <t xml:space="preserve">Устаревшая модель</t>
  </si>
  <si>
    <t xml:space="preserve">Актуальная модель</t>
  </si>
  <si>
    <t xml:space="preserve">2–3 нед.</t>
  </si>
  <si>
    <t xml:space="preserve">Без ретрейна: +40% ошибок</t>
  </si>
  <si>
    <t xml:space="preserve">MLOps платформа (мониторинг)</t>
  </si>
  <si>
    <t xml:space="preserve">Ручной мониторинг</t>
  </si>
  <si>
    <t xml:space="preserve">Автоматический</t>
  </si>
  <si>
    <t xml:space="preserve">Нужно для управления деградацией</t>
  </si>
  <si>
    <t xml:space="preserve">ИТОГО</t>
  </si>
  <si>
    <t xml:space="preserve">BigTechGroup — Стоимость переобучения и сценарный анализ</t>
  </si>
  <si>
    <t xml:space="preserve">Три сценария: немедленный ретрейн | отложенный запуск | масштабирование без ретрейна</t>
  </si>
  <si>
    <t xml:space="preserve">4.1 СТОИМОСТЬ ПЕРЕОБУЧЕНИЯ (ДЕТАЛИЗАЦИЯ)</t>
  </si>
  <si>
    <t xml:space="preserve">Статья затрат</t>
  </si>
  <si>
    <t xml:space="preserve">Разовая, млн ₽</t>
  </si>
  <si>
    <t xml:space="preserve">Ежемесячная, млн ₽</t>
  </si>
  <si>
    <t xml:space="preserve">Ежегодная, млн ₽</t>
  </si>
  <si>
    <t xml:space="preserve">GPU-время (облако/собственные)</t>
  </si>
  <si>
    <t xml:space="preserve">Основная статья. При ×2 GPU — пропорционально</t>
  </si>
  <si>
    <t xml:space="preserve">Инженерные часы ML-команды</t>
  </si>
  <si>
    <t xml:space="preserve">4 FTE × 2 нед/мес на ретрейн и валидацию</t>
  </si>
  <si>
    <t xml:space="preserve">Инфраструктура (хранение, трансфер)</t>
  </si>
  <si>
    <t xml:space="preserve">Данные, артефакты, эксперименты</t>
  </si>
  <si>
    <t xml:space="preserve">Валидация и A/B тест</t>
  </si>
  <si>
    <t xml:space="preserve">2 нед. на валидацию после каждого ретрейна</t>
  </si>
  <si>
    <t xml:space="preserve">ИТОГО переобучение/мес</t>
  </si>
  <si>
    <t xml:space="preserve">Первичный ретрейн (разовый)</t>
  </si>
  <si>
    <t xml:space="preserve">Включает аудит данных и полный цикл</t>
  </si>
  <si>
    <t xml:space="preserve">ИТОГО год 1 (ретрейн ×12 + первичный)</t>
  </si>
  <si>
    <t xml:space="preserve">4.2 СЦЕНАРНЫЙ АНАЛИЗ: ТРИ ПУТИ</t>
  </si>
  <si>
    <t xml:space="preserve">Сценарий A
Немедленный ретрейн + запуск</t>
  </si>
  <si>
    <t xml:space="preserve">Сценарий B
Отложить на 2–3 мес.</t>
  </si>
  <si>
    <t xml:space="preserve">Сценарий C
Запуск без ретрейна</t>
  </si>
  <si>
    <t xml:space="preserve">Качество модели на старте</t>
  </si>
  <si>
    <t xml:space="preserve">Precision@10 ~0.38 после ретрейна</t>
  </si>
  <si>
    <t xml:space="preserve">Precision@10 ~0.40 (2+ цикла)</t>
  </si>
  <si>
    <t xml:space="preserve">Precision@10 = 0.341 (текущее)</t>
  </si>
  <si>
    <t xml:space="preserve">~20% после ретрейна</t>
  </si>
  <si>
    <t xml:space="preserve">~18% после 2 циклов</t>
  </si>
  <si>
    <t xml:space="preserve">~32% при федеральном масштабе</t>
  </si>
  <si>
    <t xml:space="preserve">Доп. выручка год 1, млн ₽</t>
  </si>
  <si>
    <t xml:space="preserve">~420–460</t>
  </si>
  <si>
    <t xml:space="preserve">~460–490</t>
  </si>
  <si>
    <t xml:space="preserve">~215–240</t>
  </si>
  <si>
    <t xml:space="preserve">Сценарий C: деградация съедает эффект</t>
  </si>
  <si>
    <t xml:space="preserve">Доп. выручка год 2, млн ₽</t>
  </si>
  <si>
    <t xml:space="preserve">~820–870</t>
  </si>
  <si>
    <t xml:space="preserve">~850–900</t>
  </si>
  <si>
    <t xml:space="preserve">~380–420</t>
  </si>
  <si>
    <t xml:space="preserve">CAPEX на ретрейн год 1, млн ₽</t>
  </si>
  <si>
    <t xml:space="preserve">~55 (1 цикл + MLOps)</t>
  </si>
  <si>
    <t xml:space="preserve">~80 (2 цикла + MLOps)</t>
  </si>
  <si>
    <t xml:space="preserve">0 (не тратим, но теряем выручку)</t>
  </si>
  <si>
    <t xml:space="preserve">Payback, мес.</t>
  </si>
  <si>
    <t xml:space="preserve">~11–12</t>
  </si>
  <si>
    <t xml:space="preserve">~10–11</t>
  </si>
  <si>
    <t xml:space="preserve">~19–22</t>
  </si>
  <si>
    <t xml:space="preserve">ROI 24 мес.</t>
  </si>
  <si>
    <t xml:space="preserve">3.4×</t>
  </si>
  <si>
    <t xml:space="preserve">3.6×</t>
  </si>
  <si>
    <t xml:space="preserve">1.9×</t>
  </si>
  <si>
    <t xml:space="preserve">Операционные потери (SLA/OOS)</t>
  </si>
  <si>
    <t xml:space="preserve">Высокие (инфраструктура не готова)</t>
  </si>
  <si>
    <t xml:space="preserve">Умеренные (время подготовить инфру)</t>
  </si>
  <si>
    <t xml:space="preserve">Критические (инфра + модель)</t>
  </si>
  <si>
    <t xml:space="preserve">Регуляторный риск</t>
  </si>
  <si>
    <t xml:space="preserve">Средний (нужно закрыть 152-ФЗ за 3–4 нед.)</t>
  </si>
  <si>
    <t xml:space="preserve">Низкий (время закрыть)</t>
  </si>
  <si>
    <t xml:space="preserve">Высокий (нет времени)</t>
  </si>
  <si>
    <t xml:space="preserve">Рыночный риск</t>
  </si>
  <si>
    <t xml:space="preserve">Умеренный (–2–3 мес. от конкурента)</t>
  </si>
  <si>
    <t xml:space="preserve">Умеренный (–3–4 мес.)</t>
  </si>
  <si>
    <t xml:space="preserve">Низкий краткосрочно → высокий долгосрочно</t>
  </si>
  <si>
    <t xml:space="preserve">Репутационный риск плохих рекомендаций</t>
  </si>
  <si>
    <t xml:space="preserve">Организационный риск</t>
  </si>
  <si>
    <t xml:space="preserve">Высокий (CFO против без гарантий)</t>
  </si>
  <si>
    <t xml:space="preserve">Умеренный (есть данные)</t>
  </si>
  <si>
    <t xml:space="preserve">Высокий (ML-команда против)</t>
  </si>
  <si>
    <t xml:space="preserve">Рекомендация</t>
  </si>
  <si>
    <t xml:space="preserve">⚠ Возможно при CAPEX не урезан</t>
  </si>
  <si>
    <t xml:space="preserve">✓ Оптимальный при текущих ограничениях</t>
  </si>
  <si>
    <t xml:space="preserve">✗ Не рекомендуется</t>
  </si>
  <si>
    <t xml:space="preserve">4.3 УСЛОВИЯ РЕАЛИЗАЦИИ КАЖДОГО СЦЕНАРИЯ</t>
  </si>
  <si>
    <t xml:space="preserve">Условие</t>
  </si>
  <si>
    <t xml:space="preserve">Сценарий A</t>
  </si>
  <si>
    <t xml:space="preserve">Сценарий B</t>
  </si>
  <si>
    <t xml:space="preserve">Сценарий C</t>
  </si>
  <si>
    <t xml:space="preserve">Источник риска</t>
  </si>
  <si>
    <t xml:space="preserve">CAPEX бюджет проекта</t>
  </si>
  <si>
    <t xml:space="preserve">340 млн ₽ (полный)</t>
  </si>
  <si>
    <t xml:space="preserve">340 млн ₽ (можно поэтапно)</t>
  </si>
  <si>
    <t xml:space="preserve">238 млн ₽ (−30% возможно)</t>
  </si>
  <si>
    <t xml:space="preserve">CFO</t>
  </si>
  <si>
    <t xml:space="preserve">Инфраструктура inference</t>
  </si>
  <si>
    <t xml:space="preserve">Расширить ×2.5 до запуска</t>
  </si>
  <si>
    <t xml:space="preserve">Расширить за 2–3 мес.</t>
  </si>
  <si>
    <t xml:space="preserve">Текущая (система упадёт)</t>
  </si>
  <si>
    <t xml:space="preserve">COO / инфра-команда</t>
  </si>
  <si>
    <t xml:space="preserve">Переобучение модели</t>
  </si>
  <si>
    <t xml:space="preserve">Немедленно (2–3 нед.)</t>
  </si>
  <si>
    <t xml:space="preserve">2 полных цикла за 2 мес.</t>
  </si>
  <si>
    <t xml:space="preserve">Не требуется (но критично)</t>
  </si>
  <si>
    <t xml:space="preserve">ML-команда</t>
  </si>
  <si>
    <t xml:space="preserve">Регуляторика 152-ФЗ</t>
  </si>
  <si>
    <t xml:space="preserve">Закрыть за 3–4 нед. параллельно</t>
  </si>
  <si>
    <t xml:space="preserve">Закрыть до запуска</t>
  </si>
  <si>
    <t xml:space="preserve">Высокий риск неготовности</t>
  </si>
  <si>
    <t xml:space="preserve">Юр. отдел</t>
  </si>
  <si>
    <t xml:space="preserve">Data pipeline freshness</t>
  </si>
  <si>
    <t xml:space="preserve">&lt; 4 ч (рефакторинг)</t>
  </si>
  <si>
    <t xml:space="preserve">18 ч (без изменений)</t>
  </si>
  <si>
    <t xml:space="preserve">Дата-инженеры</t>
  </si>
  <si>
    <t xml:space="preserve">Поддержка CEO/CDTO</t>
  </si>
  <si>
    <t xml:space="preserve">Нужна для защиты бюджета</t>
  </si>
  <si>
    <t xml:space="preserve">Нужна, но менее срочно</t>
  </si>
  <si>
    <t xml:space="preserve">Нужна, рискует репутацией CEO</t>
  </si>
  <si>
    <t xml:space="preserve">CEO, CDTO (уходит)</t>
  </si>
  <si>
    <t xml:space="preserve">Позиция CFO</t>
  </si>
  <si>
    <t xml:space="preserve">Требует гарантий payback &lt; 12 мес.</t>
  </si>
  <si>
    <t xml:space="preserve">Приемлемо при payback &lt; 18 мес.</t>
  </si>
  <si>
    <t xml:space="preserve">Может поддержать (экономия CAPEX)</t>
  </si>
  <si>
    <t xml:space="preserve">ML-ключи для AI-ассистента</t>
  </si>
  <si>
    <t xml:space="preserve">Все числовые параметры модели в формате key:value для системного промпта / RAG</t>
  </si>
  <si>
    <t xml:space="preserve">Ключ</t>
  </si>
  <si>
    <t xml:space="preserve">Значение</t>
  </si>
  <si>
    <t xml:space="preserve">Единица</t>
  </si>
  <si>
    <t xml:space="preserve">Описание</t>
  </si>
  <si>
    <t xml:space="preserve">model.precision10.pilot</t>
  </si>
  <si>
    <t xml:space="preserve">Precision@10 на пилоте Q1'25</t>
  </si>
  <si>
    <t xml:space="preserve">model.precision10.current</t>
  </si>
  <si>
    <t xml:space="preserve">Precision@10 текущее Q1'26 (ниже порога)</t>
  </si>
  <si>
    <t xml:space="preserve">model.precision10.threshold</t>
  </si>
  <si>
    <t xml:space="preserve">Порог Precision@10 для масштабирования</t>
  </si>
  <si>
    <t xml:space="preserve">model.precision10.after_retrain_est</t>
  </si>
  <si>
    <t xml:space="preserve">Ожидаемое после 1 цикла ретрейна</t>
  </si>
  <si>
    <t xml:space="preserve">model.recall10.pilot</t>
  </si>
  <si>
    <t xml:space="preserve">Recall@10 пилот</t>
  </si>
  <si>
    <t xml:space="preserve">model.recall10.current</t>
  </si>
  <si>
    <t xml:space="preserve">Recall@10 текущее</t>
  </si>
  <si>
    <t xml:space="preserve">model.ndcg10.pilot</t>
  </si>
  <si>
    <t xml:space="preserve">NDCG@10 пилот</t>
  </si>
  <si>
    <t xml:space="preserve">model.ndcg10.current</t>
  </si>
  <si>
    <t xml:space="preserve">NDCG@10 текущее</t>
  </si>
  <si>
    <t xml:space="preserve">model.error_rate.current</t>
  </si>
  <si>
    <t xml:space="preserve">%</t>
  </si>
  <si>
    <t xml:space="preserve">Доля ошибочных рекомендаций Q1'26</t>
  </si>
  <si>
    <t xml:space="preserve">model.error_rate.pilot</t>
  </si>
  <si>
    <t xml:space="preserve">Доля ошибочных рекомендаций пилот</t>
  </si>
  <si>
    <t xml:space="preserve">model.error_rate.scale_no_retrain</t>
  </si>
  <si>
    <t xml:space="preserve">Прогноз ошибок при масштабировании без ретрейна</t>
  </si>
  <si>
    <t xml:space="preserve">model.error_rate.increase_pct</t>
  </si>
  <si>
    <t xml:space="preserve">+40% к ошибкам без переобучения (данные ML-команды)</t>
  </si>
  <si>
    <t xml:space="preserve">model.conversion.pilot</t>
  </si>
  <si>
    <t xml:space="preserve">Конверсия рекомендация→покупка пилот</t>
  </si>
  <si>
    <t xml:space="preserve">model.conversion.current</t>
  </si>
  <si>
    <t xml:space="preserve">Конверсия рекомендация→покупка текущая</t>
  </si>
  <si>
    <t xml:space="preserve">model.conversion.degradation</t>
  </si>
  <si>
    <t xml:space="preserve">Деградация конверсии vs пилот (−23%)</t>
  </si>
  <si>
    <t xml:space="preserve">model.coverage.current</t>
  </si>
  <si>
    <t xml:space="preserve">Покрытие каталога текущими рекомендациями</t>
  </si>
  <si>
    <t xml:space="preserve">degradation.months_since_pilot</t>
  </si>
  <si>
    <t xml:space="preserve">мес.</t>
  </si>
  <si>
    <t xml:space="preserve">Месяцев с момента пилота</t>
  </si>
  <si>
    <t xml:space="preserve">degradation.precision_drop_abs</t>
  </si>
  <si>
    <t xml:space="preserve">пп</t>
  </si>
  <si>
    <t xml:space="preserve">Абсолютное падение Precision@10</t>
  </si>
  <si>
    <t xml:space="preserve">degradation.precision_drop_pct</t>
  </si>
  <si>
    <t xml:space="preserve">Относительное падение Precision@10 (−17.2%)</t>
  </si>
  <si>
    <t xml:space="preserve">degradation.threshold_breached</t>
  </si>
  <si>
    <t xml:space="preserve">Q1'26</t>
  </si>
  <si>
    <t xml:space="preserve">Когда Precision@10 опустился ниже порога</t>
  </si>
  <si>
    <t xml:space="preserve">degradation.root_cause</t>
  </si>
  <si>
    <t xml:space="preserve">Поведенческий дрейф</t>
  </si>
  <si>
    <t xml:space="preserve">Изменение паттернов пользователей</t>
  </si>
  <si>
    <t xml:space="preserve">degradation.acceleration</t>
  </si>
  <si>
    <t xml:space="preserve">Ускоряется</t>
  </si>
  <si>
    <t xml:space="preserve">Темп деградации растёт, не замедляется</t>
  </si>
  <si>
    <t xml:space="preserve">infra.servers_inference_current</t>
  </si>
  <si>
    <t xml:space="preserve">шт.</t>
  </si>
  <si>
    <t xml:space="preserve">Текущих inference-серверов</t>
  </si>
  <si>
    <t xml:space="preserve">infra.servers_inference_needed</t>
  </si>
  <si>
    <t xml:space="preserve">Нужно для федерального масштаба</t>
  </si>
  <si>
    <t xml:space="preserve">infra.load_avg_current</t>
  </si>
  <si>
    <t xml:space="preserve">Средняя загрузка inference Q1'26</t>
  </si>
  <si>
    <t xml:space="preserve">infra.load_peak_current</t>
  </si>
  <si>
    <t xml:space="preserve">Пиковая загрузка inference Q1'26</t>
  </si>
  <si>
    <t xml:space="preserve">infra.load_at_3x_scale</t>
  </si>
  <si>
    <t xml:space="preserve">Прогноз загрузки при ×3 охвата (&gt;100% = падение)</t>
  </si>
  <si>
    <t xml:space="preserve">infra.latency_p50_ms</t>
  </si>
  <si>
    <t xml:space="preserve">мс</t>
  </si>
  <si>
    <t xml:space="preserve">Latency P50 текущая</t>
  </si>
  <si>
    <t xml:space="preserve">infra.latency_p99_ms</t>
  </si>
  <si>
    <t xml:space="preserve">Latency P99 текущая</t>
  </si>
  <si>
    <t xml:space="preserve">infra.latency_p99_at_2x</t>
  </si>
  <si>
    <t xml:space="preserve">Latency P99 при ×2 охвата (выше 500 мс порога)</t>
  </si>
  <si>
    <t xml:space="preserve">infra.throughput_current</t>
  </si>
  <si>
    <t xml:space="preserve">req/s</t>
  </si>
  <si>
    <t xml:space="preserve">Текущий throughput (ниже нормы 8000)</t>
  </si>
  <si>
    <t xml:space="preserve">infra.throughput_norm</t>
  </si>
  <si>
    <t xml:space="preserve">Норматив throughput</t>
  </si>
  <si>
    <t xml:space="preserve">infra.data_freshness_hours</t>
  </si>
  <si>
    <t xml:space="preserve">ч</t>
  </si>
  <si>
    <t xml:space="preserve">Задержка данных в pipeline (норма: &lt; 4 ч)</t>
  </si>
  <si>
    <t xml:space="preserve">infra.data_freshness_norm_hours</t>
  </si>
  <si>
    <t xml:space="preserve">Норматив freshness</t>
  </si>
  <si>
    <t xml:space="preserve">infra.uptime</t>
  </si>
  <si>
    <t xml:space="preserve">Uptime системы Q1'26 (норма: ≥ 99.5%)</t>
  </si>
  <si>
    <t xml:space="preserve">infra.gpu_current</t>
  </si>
  <si>
    <t xml:space="preserve">× A100</t>
  </si>
  <si>
    <t xml:space="preserve">Текущих GPU для обучения</t>
  </si>
  <si>
    <t xml:space="preserve">infra.gpu_needed</t>
  </si>
  <si>
    <t xml:space="preserve">Нужно GPU для масштаба</t>
  </si>
  <si>
    <t xml:space="preserve">infra.capex_to_scale_mln_rub</t>
  </si>
  <si>
    <t xml:space="preserve">млн ₽</t>
  </si>
  <si>
    <t xml:space="preserve">CAPEX на инфраструктуру для масштабирования</t>
  </si>
  <si>
    <t xml:space="preserve">retrain.cost_per_cycle_mln_rub</t>
  </si>
  <si>
    <t xml:space="preserve">Стоимость одного цикла переобучения</t>
  </si>
  <si>
    <t xml:space="preserve">retrain.cost_annual_mln_rub</t>
  </si>
  <si>
    <t xml:space="preserve">Стоимость переобучения при ежемесячном цикле</t>
  </si>
  <si>
    <t xml:space="preserve">retrain.duration_hours</t>
  </si>
  <si>
    <t xml:space="preserve">Длительность полного цикла обучения</t>
  </si>
  <si>
    <t xml:space="preserve">retrain.frequency_current</t>
  </si>
  <si>
    <t xml:space="preserve">6–8 нед</t>
  </si>
  <si>
    <t xml:space="preserve">Текущая частота переобучений</t>
  </si>
  <si>
    <t xml:space="preserve">retrain.frequency_needed</t>
  </si>
  <si>
    <t xml:space="preserve">2–3 нед</t>
  </si>
  <si>
    <t xml:space="preserve">Нужная частота при масштабировании</t>
  </si>
  <si>
    <t xml:space="preserve">retrain.time_to_effect_weeks</t>
  </si>
  <si>
    <t xml:space="preserve">нед.</t>
  </si>
  <si>
    <t xml:space="preserve">Срок до эффекта после переобучения</t>
  </si>
  <si>
    <t xml:space="preserve">scenario_a.retrain_first.incremental_rev_y1_mln</t>
  </si>
  <si>
    <t xml:space="preserve">Сценарий A: доп. выручка год 1</t>
  </si>
  <si>
    <t xml:space="preserve">scenario_b.delay_2m.incremental_rev_y1_mln</t>
  </si>
  <si>
    <t xml:space="preserve">Сценарий B: доп. выручка год 1</t>
  </si>
  <si>
    <t xml:space="preserve">scenario_c.no_retrain.incremental_rev_y1_mln</t>
  </si>
  <si>
    <t xml:space="preserve">Сценарий C: доп. выручка год 1</t>
  </si>
  <si>
    <t xml:space="preserve">scenario_a.payback_months</t>
  </si>
  <si>
    <t xml:space="preserve">Сценарий A: payback</t>
  </si>
  <si>
    <t xml:space="preserve">scenario_b.payback_months</t>
  </si>
  <si>
    <t xml:space="preserve">Сценарий B: payback</t>
  </si>
  <si>
    <t xml:space="preserve">scenario_c.payback_months</t>
  </si>
  <si>
    <t xml:space="preserve">Сценарий C: payback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</si>
</sst>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"/>
    <numFmt numFmtId="167" formatCode="0.0%"/>
    <numFmt numFmtId="168" formatCode="#,##0"/>
    <numFmt numFmtId="169" formatCode="#,##0&quot; млн ₽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5C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1B4F8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i val="true"/>
      <sz val="10"/>
      <color rgb="FFC0392B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name val="Arial"/>
      <family val="0"/>
      <charset val="1"/>
    </font>
    <font>
      <sz val="11"/>
      <color rgb="FF0000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5C"/>
        <bgColor rgb="FF2C3E50"/>
      </patternFill>
    </fill>
    <fill>
      <patternFill patternType="solid">
        <fgColor rgb="FFF4F6F9"/>
        <bgColor rgb="FFE8F5E9"/>
      </patternFill>
    </fill>
    <fill>
      <patternFill patternType="solid">
        <fgColor rgb="FFFDECEA"/>
        <bgColor rgb="FFFFF8E1"/>
      </patternFill>
    </fill>
    <fill>
      <patternFill patternType="solid">
        <fgColor rgb="FFFFFFFF"/>
        <bgColor rgb="FFF4F6F9"/>
      </patternFill>
    </fill>
    <fill>
      <patternFill patternType="solid">
        <fgColor rgb="FFFFF8E1"/>
        <bgColor rgb="FFFDECEA"/>
      </patternFill>
    </fill>
    <fill>
      <patternFill patternType="solid">
        <fgColor rgb="FFE8F5E9"/>
        <bgColor rgb="FFF4F6F9"/>
      </patternFill>
    </fill>
    <fill>
      <patternFill patternType="solid">
        <fgColor rgb="FF2C3E50"/>
        <bgColor rgb="FF1B3A5C"/>
      </patternFill>
    </fill>
    <fill>
      <patternFill patternType="solid">
        <fgColor rgb="FFD6E4F0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333300"/>
      <rgbColor rgb="FFC0392B"/>
      <rgbColor rgb="FF993366"/>
      <rgbColor rgb="FF1B4F8A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4"/>
    <col collapsed="false" customWidth="true" hidden="false" outlineLevel="0" max="6" min="6" style="1" width="12"/>
    <col collapsed="false" customWidth="true" hidden="false" outlineLevel="0" max="7" min="7" style="1" width="36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4" t="s">
        <v>2</v>
      </c>
    </row>
    <row r="5" customFormat="false" ht="24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true" outlineLevel="0" collapsed="false">
      <c r="A6" s="6" t="s">
        <v>10</v>
      </c>
      <c r="B6" s="7" t="n">
        <v>0.412</v>
      </c>
      <c r="C6" s="7" t="n">
        <v>0.401</v>
      </c>
      <c r="D6" s="7" t="n">
        <v>0.385</v>
      </c>
      <c r="E6" s="7" t="n">
        <v>0.362</v>
      </c>
      <c r="F6" s="8" t="n">
        <v>0.341</v>
      </c>
      <c r="G6" s="9" t="s">
        <v>11</v>
      </c>
    </row>
    <row r="7" customFormat="false" ht="15" hidden="false" customHeight="true" outlineLevel="0" collapsed="false">
      <c r="A7" s="10" t="s">
        <v>12</v>
      </c>
      <c r="B7" s="11" t="n">
        <v>0.318</v>
      </c>
      <c r="C7" s="11" t="n">
        <v>0.309</v>
      </c>
      <c r="D7" s="11" t="n">
        <v>0.294</v>
      </c>
      <c r="E7" s="11" t="n">
        <v>0.278</v>
      </c>
      <c r="F7" s="11" t="n">
        <v>0.261</v>
      </c>
      <c r="G7" s="12" t="s">
        <v>13</v>
      </c>
    </row>
    <row r="8" customFormat="false" ht="15" hidden="false" customHeight="true" outlineLevel="0" collapsed="false">
      <c r="A8" s="6" t="s">
        <v>14</v>
      </c>
      <c r="B8" s="7" t="n">
        <v>0.471</v>
      </c>
      <c r="C8" s="7" t="n">
        <v>0.458</v>
      </c>
      <c r="D8" s="7" t="n">
        <v>0.441</v>
      </c>
      <c r="E8" s="7" t="n">
        <v>0.419</v>
      </c>
      <c r="F8" s="7" t="n">
        <v>0.397</v>
      </c>
      <c r="G8" s="9" t="s">
        <v>15</v>
      </c>
    </row>
    <row r="9" customFormat="false" ht="15" hidden="false" customHeight="true" outlineLevel="0" collapsed="false">
      <c r="A9" s="10" t="s">
        <v>16</v>
      </c>
      <c r="B9" s="11" t="n">
        <v>0.683</v>
      </c>
      <c r="C9" s="11" t="n">
        <v>0.671</v>
      </c>
      <c r="D9" s="11" t="n">
        <v>0.654</v>
      </c>
      <c r="E9" s="11" t="n">
        <v>0.634</v>
      </c>
      <c r="F9" s="11" t="n">
        <v>0.611</v>
      </c>
      <c r="G9" s="12" t="s">
        <v>17</v>
      </c>
    </row>
    <row r="10" customFormat="false" ht="15" hidden="false" customHeight="true" outlineLevel="0" collapsed="false">
      <c r="A10" s="6" t="s">
        <v>18</v>
      </c>
      <c r="B10" s="7" t="n">
        <v>0.284</v>
      </c>
      <c r="C10" s="7" t="n">
        <v>0.276</v>
      </c>
      <c r="D10" s="7" t="n">
        <v>0.265</v>
      </c>
      <c r="E10" s="7" t="n">
        <v>0.251</v>
      </c>
      <c r="F10" s="7" t="n">
        <v>0.238</v>
      </c>
      <c r="G10" s="9" t="s">
        <v>19</v>
      </c>
    </row>
    <row r="11" customFormat="false" ht="15" hidden="false" customHeight="true" outlineLevel="0" collapsed="false">
      <c r="A11" s="10" t="s">
        <v>20</v>
      </c>
      <c r="B11" s="11" t="n">
        <v>0.612</v>
      </c>
      <c r="C11" s="11" t="n">
        <v>0.598</v>
      </c>
      <c r="D11" s="11" t="n">
        <v>0.571</v>
      </c>
      <c r="E11" s="11" t="n">
        <v>0.542</v>
      </c>
      <c r="F11" s="11" t="n">
        <v>0.518</v>
      </c>
      <c r="G11" s="12" t="s">
        <v>21</v>
      </c>
    </row>
    <row r="12" customFormat="false" ht="15" hidden="false" customHeight="true" outlineLevel="0" collapsed="false">
      <c r="A12" s="6" t="s">
        <v>22</v>
      </c>
      <c r="B12" s="7" t="n">
        <v>0.441</v>
      </c>
      <c r="C12" s="7" t="n">
        <v>0.429</v>
      </c>
      <c r="D12" s="7" t="n">
        <v>0.408</v>
      </c>
      <c r="E12" s="7" t="n">
        <v>0.382</v>
      </c>
      <c r="F12" s="7" t="n">
        <v>0.361</v>
      </c>
      <c r="G12" s="9" t="s">
        <v>23</v>
      </c>
    </row>
    <row r="13" customFormat="false" ht="15" hidden="false" customHeight="true" outlineLevel="0" collapsed="false">
      <c r="A13" s="10" t="s">
        <v>24</v>
      </c>
      <c r="B13" s="11" t="n">
        <v>0.334</v>
      </c>
      <c r="C13" s="11" t="n">
        <v>0.321</v>
      </c>
      <c r="D13" s="11" t="n">
        <v>0.308</v>
      </c>
      <c r="E13" s="11" t="n">
        <v>0.289</v>
      </c>
      <c r="F13" s="11" t="n">
        <v>0.271</v>
      </c>
      <c r="G13" s="12" t="s">
        <v>25</v>
      </c>
    </row>
    <row r="14" customFormat="false" ht="15" hidden="false" customHeight="true" outlineLevel="0" collapsed="false">
      <c r="A14" s="6" t="s">
        <v>26</v>
      </c>
      <c r="B14" s="7" t="n">
        <v>0.031</v>
      </c>
      <c r="C14" s="7" t="n">
        <v>0.029</v>
      </c>
      <c r="D14" s="7" t="n">
        <v>0.027</v>
      </c>
      <c r="E14" s="7" t="n">
        <v>0.025</v>
      </c>
      <c r="F14" s="7" t="n">
        <v>0.024</v>
      </c>
      <c r="G14" s="9" t="s">
        <v>27</v>
      </c>
    </row>
    <row r="15" customFormat="false" ht="15" hidden="false" customHeight="true" outlineLevel="0" collapsed="false">
      <c r="A15" s="10" t="s">
        <v>28</v>
      </c>
      <c r="B15" s="11" t="n">
        <v>0.082</v>
      </c>
      <c r="C15" s="11" t="n">
        <v>0.078</v>
      </c>
      <c r="D15" s="11" t="n">
        <v>0.073</v>
      </c>
      <c r="E15" s="11" t="n">
        <v>0.068</v>
      </c>
      <c r="F15" s="11" t="n">
        <v>0.064</v>
      </c>
      <c r="G15" s="12" t="s">
        <v>29</v>
      </c>
    </row>
    <row r="16" customFormat="false" ht="15" hidden="false" customHeight="true" outlineLevel="0" collapsed="false">
      <c r="A16" s="6" t="s">
        <v>30</v>
      </c>
      <c r="B16" s="7" t="n">
        <v>0.163</v>
      </c>
      <c r="C16" s="7" t="n">
        <v>0.181</v>
      </c>
      <c r="D16" s="7" t="n">
        <v>0.198</v>
      </c>
      <c r="E16" s="7" t="n">
        <v>0.214</v>
      </c>
      <c r="F16" s="8" t="n">
        <v>0.228</v>
      </c>
      <c r="G16" s="9" t="s">
        <v>31</v>
      </c>
    </row>
    <row r="18" customFormat="false" ht="36" hidden="false" customHeight="true" outlineLevel="0" collapsed="false">
      <c r="A18" s="13" t="s">
        <v>32</v>
      </c>
      <c r="B18" s="13"/>
      <c r="C18" s="13"/>
      <c r="D18" s="13"/>
      <c r="E18" s="13"/>
      <c r="F18" s="13"/>
      <c r="G18" s="13"/>
    </row>
    <row r="20" customFormat="false" ht="15" hidden="false" customHeight="true" outlineLevel="0" collapsed="false">
      <c r="A20" s="4" t="s">
        <v>33</v>
      </c>
    </row>
    <row r="21" customFormat="false" ht="15" hidden="false" customHeight="true" outlineLevel="0" collapsed="false">
      <c r="A21" s="5" t="s">
        <v>34</v>
      </c>
      <c r="B21" s="5" t="s">
        <v>4</v>
      </c>
      <c r="C21" s="5" t="s">
        <v>35</v>
      </c>
      <c r="D21" s="5" t="s">
        <v>36</v>
      </c>
      <c r="E21" s="5" t="s">
        <v>37</v>
      </c>
      <c r="F21" s="5" t="s">
        <v>38</v>
      </c>
      <c r="G21" s="5" t="s">
        <v>39</v>
      </c>
    </row>
    <row r="22" customFormat="false" ht="15" hidden="false" customHeight="true" outlineLevel="0" collapsed="false">
      <c r="A22" s="14" t="s">
        <v>40</v>
      </c>
      <c r="B22" s="8" t="n">
        <v>0.289</v>
      </c>
      <c r="C22" s="8" t="n">
        <v>0.241</v>
      </c>
      <c r="D22" s="8" t="n">
        <f aca="false">C22-B22</f>
        <v>-0.048</v>
      </c>
      <c r="E22" s="8" t="n">
        <f aca="false">(C22-B22)/B22</f>
        <v>-0.166089965397924</v>
      </c>
      <c r="F22" s="15" t="s">
        <v>41</v>
      </c>
      <c r="G22" s="15" t="s">
        <v>42</v>
      </c>
    </row>
    <row r="23" customFormat="false" ht="15" hidden="false" customHeight="true" outlineLevel="0" collapsed="false">
      <c r="A23" s="14" t="s">
        <v>43</v>
      </c>
      <c r="B23" s="8" t="n">
        <v>0.428</v>
      </c>
      <c r="C23" s="8" t="n">
        <v>0.358</v>
      </c>
      <c r="D23" s="8" t="n">
        <f aca="false">C23-B23</f>
        <v>-0.07</v>
      </c>
      <c r="E23" s="8" t="n">
        <f aca="false">(C23-B23)/B23</f>
        <v>-0.163551401869159</v>
      </c>
      <c r="F23" s="15" t="s">
        <v>41</v>
      </c>
      <c r="G23" s="15" t="s">
        <v>44</v>
      </c>
    </row>
    <row r="24" customFormat="false" ht="15" hidden="false" customHeight="true" outlineLevel="0" collapsed="false">
      <c r="A24" s="16" t="s">
        <v>45</v>
      </c>
      <c r="B24" s="17" t="n">
        <v>0.511</v>
      </c>
      <c r="C24" s="17" t="n">
        <v>0.468</v>
      </c>
      <c r="D24" s="17" t="n">
        <f aca="false">C24-B24</f>
        <v>-0.043</v>
      </c>
      <c r="E24" s="17" t="n">
        <f aca="false">(C24-B24)/B24</f>
        <v>-0.0841487279843444</v>
      </c>
      <c r="F24" s="18" t="s">
        <v>46</v>
      </c>
      <c r="G24" s="18" t="s">
        <v>47</v>
      </c>
    </row>
    <row r="25" customFormat="false" ht="15" hidden="false" customHeight="true" outlineLevel="0" collapsed="false">
      <c r="A25" s="14" t="s">
        <v>48</v>
      </c>
      <c r="B25" s="8" t="n">
        <v>0.241</v>
      </c>
      <c r="C25" s="8" t="n">
        <v>0.188</v>
      </c>
      <c r="D25" s="8" t="n">
        <f aca="false">C25-B25</f>
        <v>-0.053</v>
      </c>
      <c r="E25" s="8" t="n">
        <f aca="false">(C25-B25)/B25</f>
        <v>-0.219917012448133</v>
      </c>
      <c r="F25" s="15" t="s">
        <v>41</v>
      </c>
      <c r="G25" s="15" t="s">
        <v>49</v>
      </c>
    </row>
    <row r="26" customFormat="false" ht="15" hidden="false" customHeight="true" outlineLevel="0" collapsed="false">
      <c r="A26" s="14" t="s">
        <v>50</v>
      </c>
      <c r="B26" s="8" t="n">
        <v>0.441</v>
      </c>
      <c r="C26" s="8" t="n">
        <v>0.362</v>
      </c>
      <c r="D26" s="8" t="n">
        <f aca="false">C26-B26</f>
        <v>-0.079</v>
      </c>
      <c r="E26" s="8" t="n">
        <f aca="false">(C26-B26)/B26</f>
        <v>-0.179138321995465</v>
      </c>
      <c r="F26" s="15" t="s">
        <v>41</v>
      </c>
      <c r="G26" s="15" t="s">
        <v>51</v>
      </c>
    </row>
    <row r="27" customFormat="false" ht="15" hidden="false" customHeight="true" outlineLevel="0" collapsed="false">
      <c r="A27" s="14" t="s">
        <v>52</v>
      </c>
      <c r="B27" s="8" t="n">
        <v>0.398</v>
      </c>
      <c r="C27" s="8" t="n">
        <v>0.334</v>
      </c>
      <c r="D27" s="8" t="n">
        <f aca="false">C27-B27</f>
        <v>-0.064</v>
      </c>
      <c r="E27" s="8" t="n">
        <f aca="false">(C27-B27)/B27</f>
        <v>-0.160804020100503</v>
      </c>
      <c r="F27" s="15" t="s">
        <v>41</v>
      </c>
      <c r="G27" s="15"/>
    </row>
    <row r="28" customFormat="false" ht="15" hidden="false" customHeight="true" outlineLevel="0" collapsed="false">
      <c r="A28" s="16" t="s">
        <v>53</v>
      </c>
      <c r="B28" s="17" t="n">
        <v>0.464</v>
      </c>
      <c r="C28" s="17" t="n">
        <v>0.401</v>
      </c>
      <c r="D28" s="17" t="n">
        <f aca="false">C28-B28</f>
        <v>-0.063</v>
      </c>
      <c r="E28" s="17" t="n">
        <f aca="false">(C28-B28)/B28</f>
        <v>-0.135775862068966</v>
      </c>
      <c r="F28" s="18" t="s">
        <v>46</v>
      </c>
      <c r="G28" s="18" t="s">
        <v>54</v>
      </c>
    </row>
    <row r="29" customFormat="false" ht="15" hidden="false" customHeight="true" outlineLevel="0" collapsed="false">
      <c r="A29" s="14" t="s">
        <v>55</v>
      </c>
      <c r="B29" s="8" t="n">
        <v>0.312</v>
      </c>
      <c r="C29" s="8" t="n">
        <v>0.248</v>
      </c>
      <c r="D29" s="8" t="n">
        <f aca="false">C29-B29</f>
        <v>-0.064</v>
      </c>
      <c r="E29" s="8" t="n">
        <f aca="false">(C29-B29)/B29</f>
        <v>-0.205128205128205</v>
      </c>
      <c r="F29" s="15" t="s">
        <v>41</v>
      </c>
      <c r="G29" s="15" t="s">
        <v>56</v>
      </c>
    </row>
  </sheetData>
  <mergeCells count="3">
    <mergeCell ref="A1:J1"/>
    <mergeCell ref="A2:J2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7" min="2" style="1" width="12"/>
    <col collapsed="false" customWidth="true" hidden="false" outlineLevel="0" max="8" min="8" style="1" width="14"/>
    <col collapsed="false" customWidth="true" hidden="false" outlineLevel="0" max="9" min="9" style="1" width="40"/>
  </cols>
  <sheetData>
    <row r="1" customFormat="false" ht="19.5" hidden="false" customHeight="true" outlineLevel="0" collapsed="false">
      <c r="A1" s="2" t="s">
        <v>57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58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6" hidden="false" customHeight="true" outlineLevel="0" collapsed="false">
      <c r="A4" s="5" t="s">
        <v>59</v>
      </c>
      <c r="B4" s="19" t="s">
        <v>60</v>
      </c>
      <c r="C4" s="19" t="s">
        <v>61</v>
      </c>
      <c r="D4" s="19" t="s">
        <v>62</v>
      </c>
      <c r="E4" s="19" t="s">
        <v>63</v>
      </c>
      <c r="F4" s="19" t="s">
        <v>64</v>
      </c>
      <c r="G4" s="19" t="s">
        <v>65</v>
      </c>
      <c r="H4" s="5" t="s">
        <v>66</v>
      </c>
      <c r="I4" s="5" t="s">
        <v>9</v>
      </c>
    </row>
    <row r="5" customFormat="false" ht="15" hidden="false" customHeight="true" outlineLevel="0" collapsed="false">
      <c r="A5" s="20" t="s">
        <v>67</v>
      </c>
      <c r="B5" s="7" t="n">
        <v>0.412</v>
      </c>
      <c r="C5" s="7" t="n">
        <v>0.031</v>
      </c>
      <c r="D5" s="7" t="n">
        <v>0.163</v>
      </c>
      <c r="E5" s="7" t="n">
        <v>0.082</v>
      </c>
      <c r="F5" s="21" t="n">
        <v>4.2</v>
      </c>
      <c r="G5" s="22" t="n">
        <v>0.61</v>
      </c>
      <c r="H5" s="23" t="s">
        <v>68</v>
      </c>
      <c r="I5" s="6" t="s">
        <v>69</v>
      </c>
    </row>
    <row r="6" customFormat="false" ht="15" hidden="false" customHeight="true" outlineLevel="0" collapsed="false">
      <c r="A6" s="23" t="s">
        <v>70</v>
      </c>
      <c r="B6" s="7" t="n">
        <v>0.408</v>
      </c>
      <c r="C6" s="11" t="n">
        <v>0.03</v>
      </c>
      <c r="D6" s="11" t="n">
        <v>0.168</v>
      </c>
      <c r="E6" s="11" t="n">
        <v>0.081</v>
      </c>
      <c r="F6" s="21" t="n">
        <v>4.8</v>
      </c>
      <c r="G6" s="22" t="n">
        <v>0.63</v>
      </c>
      <c r="H6" s="23"/>
      <c r="I6" s="10" t="s">
        <v>71</v>
      </c>
    </row>
    <row r="7" customFormat="false" ht="15" hidden="false" customHeight="true" outlineLevel="0" collapsed="false">
      <c r="A7" s="20" t="s">
        <v>72</v>
      </c>
      <c r="B7" s="7" t="n">
        <v>0.403</v>
      </c>
      <c r="C7" s="7" t="n">
        <v>0.03</v>
      </c>
      <c r="D7" s="7" t="n">
        <v>0.173</v>
      </c>
      <c r="E7" s="7" t="n">
        <v>0.08</v>
      </c>
      <c r="F7" s="21" t="n">
        <v>5.1</v>
      </c>
      <c r="G7" s="22" t="n">
        <v>0.64</v>
      </c>
      <c r="H7" s="24" t="s">
        <v>73</v>
      </c>
      <c r="I7" s="6" t="s">
        <v>74</v>
      </c>
    </row>
    <row r="8" customFormat="false" ht="15" hidden="false" customHeight="true" outlineLevel="0" collapsed="false">
      <c r="A8" s="23" t="s">
        <v>75</v>
      </c>
      <c r="B8" s="7" t="n">
        <v>0.401</v>
      </c>
      <c r="C8" s="11" t="n">
        <v>0.029</v>
      </c>
      <c r="D8" s="11" t="n">
        <v>0.181</v>
      </c>
      <c r="E8" s="11" t="n">
        <v>0.079</v>
      </c>
      <c r="F8" s="21" t="n">
        <v>5.4</v>
      </c>
      <c r="G8" s="22" t="n">
        <v>0.65</v>
      </c>
      <c r="H8" s="23"/>
      <c r="I8" s="10" t="s">
        <v>76</v>
      </c>
    </row>
    <row r="9" customFormat="false" ht="15" hidden="false" customHeight="true" outlineLevel="0" collapsed="false">
      <c r="A9" s="20" t="s">
        <v>77</v>
      </c>
      <c r="B9" s="7" t="n">
        <v>0.396</v>
      </c>
      <c r="C9" s="7" t="n">
        <v>0.029</v>
      </c>
      <c r="D9" s="7" t="n">
        <v>0.186</v>
      </c>
      <c r="E9" s="7" t="n">
        <v>0.078</v>
      </c>
      <c r="F9" s="25" t="n">
        <v>6.1</v>
      </c>
      <c r="G9" s="22" t="n">
        <v>0.67</v>
      </c>
      <c r="H9" s="23" t="s">
        <v>78</v>
      </c>
      <c r="I9" s="6" t="s">
        <v>79</v>
      </c>
    </row>
    <row r="10" customFormat="false" ht="15" hidden="false" customHeight="true" outlineLevel="0" collapsed="false">
      <c r="A10" s="23" t="s">
        <v>80</v>
      </c>
      <c r="B10" s="7" t="n">
        <v>0.393</v>
      </c>
      <c r="C10" s="11" t="n">
        <v>0.028</v>
      </c>
      <c r="D10" s="11" t="n">
        <v>0.19</v>
      </c>
      <c r="E10" s="11" t="n">
        <v>0.077</v>
      </c>
      <c r="F10" s="25" t="n">
        <v>6.4</v>
      </c>
      <c r="G10" s="22" t="n">
        <v>0.68</v>
      </c>
      <c r="H10" s="23"/>
      <c r="I10" s="10" t="s">
        <v>81</v>
      </c>
    </row>
    <row r="11" customFormat="false" ht="15" hidden="false" customHeight="true" outlineLevel="0" collapsed="false">
      <c r="A11" s="20" t="s">
        <v>82</v>
      </c>
      <c r="B11" s="17" t="n">
        <v>0.389</v>
      </c>
      <c r="C11" s="7" t="n">
        <v>0.028</v>
      </c>
      <c r="D11" s="7" t="n">
        <v>0.195</v>
      </c>
      <c r="E11" s="7" t="n">
        <v>0.076</v>
      </c>
      <c r="F11" s="25" t="n">
        <v>7.2</v>
      </c>
      <c r="G11" s="22" t="n">
        <v>0.7</v>
      </c>
      <c r="H11" s="24" t="s">
        <v>83</v>
      </c>
      <c r="I11" s="6" t="s">
        <v>84</v>
      </c>
    </row>
    <row r="12" customFormat="false" ht="15" hidden="false" customHeight="true" outlineLevel="0" collapsed="false">
      <c r="A12" s="23" t="s">
        <v>85</v>
      </c>
      <c r="B12" s="17" t="n">
        <v>0.385</v>
      </c>
      <c r="C12" s="11" t="n">
        <v>0.027</v>
      </c>
      <c r="D12" s="11" t="n">
        <v>0.201</v>
      </c>
      <c r="E12" s="11" t="n">
        <v>0.075</v>
      </c>
      <c r="F12" s="25" t="n">
        <v>8.1</v>
      </c>
      <c r="G12" s="22" t="n">
        <v>0.72</v>
      </c>
      <c r="H12" s="23" t="s">
        <v>86</v>
      </c>
      <c r="I12" s="10" t="s">
        <v>87</v>
      </c>
    </row>
    <row r="13" customFormat="false" ht="15" hidden="false" customHeight="true" outlineLevel="0" collapsed="false">
      <c r="A13" s="20" t="s">
        <v>88</v>
      </c>
      <c r="B13" s="17" t="n">
        <v>0.374</v>
      </c>
      <c r="C13" s="7" t="n">
        <v>0.026</v>
      </c>
      <c r="D13" s="7" t="n">
        <v>0.208</v>
      </c>
      <c r="E13" s="7" t="n">
        <v>0.073</v>
      </c>
      <c r="F13" s="25" t="n">
        <v>10.4</v>
      </c>
      <c r="G13" s="26" t="n">
        <v>0.78</v>
      </c>
      <c r="H13" s="24" t="s">
        <v>89</v>
      </c>
      <c r="I13" s="6" t="s">
        <v>90</v>
      </c>
    </row>
    <row r="14" customFormat="false" ht="15" hidden="false" customHeight="true" outlineLevel="0" collapsed="false">
      <c r="A14" s="23" t="s">
        <v>91</v>
      </c>
      <c r="B14" s="17" t="n">
        <v>0.362</v>
      </c>
      <c r="C14" s="11" t="n">
        <v>0.025</v>
      </c>
      <c r="D14" s="11" t="n">
        <v>0.214</v>
      </c>
      <c r="E14" s="11" t="n">
        <v>0.07</v>
      </c>
      <c r="F14" s="27" t="n">
        <v>12.8</v>
      </c>
      <c r="G14" s="26" t="n">
        <v>0.81</v>
      </c>
      <c r="H14" s="23" t="s">
        <v>92</v>
      </c>
      <c r="I14" s="10" t="s">
        <v>93</v>
      </c>
    </row>
    <row r="15" customFormat="false" ht="15" hidden="false" customHeight="true" outlineLevel="0" collapsed="false">
      <c r="A15" s="20" t="s">
        <v>94</v>
      </c>
      <c r="B15" s="17" t="n">
        <v>0.354</v>
      </c>
      <c r="C15" s="7" t="n">
        <v>0.025</v>
      </c>
      <c r="D15" s="7" t="n">
        <v>0.22</v>
      </c>
      <c r="E15" s="7" t="n">
        <v>0.068</v>
      </c>
      <c r="F15" s="27" t="n">
        <v>14.1</v>
      </c>
      <c r="G15" s="22" t="n">
        <v>0.74</v>
      </c>
      <c r="H15" s="24" t="s">
        <v>95</v>
      </c>
      <c r="I15" s="6" t="s">
        <v>96</v>
      </c>
    </row>
    <row r="16" customFormat="false" ht="15" hidden="false" customHeight="true" outlineLevel="0" collapsed="false">
      <c r="A16" s="23" t="s">
        <v>97</v>
      </c>
      <c r="B16" s="8" t="n">
        <v>0.347</v>
      </c>
      <c r="C16" s="11" t="n">
        <v>0.024</v>
      </c>
      <c r="D16" s="11" t="n">
        <v>0.225</v>
      </c>
      <c r="E16" s="11" t="n">
        <v>0.065</v>
      </c>
      <c r="F16" s="27" t="n">
        <v>16.2</v>
      </c>
      <c r="G16" s="26" t="n">
        <v>0.76</v>
      </c>
      <c r="H16" s="28" t="s">
        <v>98</v>
      </c>
      <c r="I16" s="10" t="s">
        <v>99</v>
      </c>
    </row>
    <row r="17" customFormat="false" ht="15" hidden="false" customHeight="true" outlineLevel="0" collapsed="false">
      <c r="A17" s="20" t="s">
        <v>100</v>
      </c>
      <c r="B17" s="8" t="n">
        <v>0.341</v>
      </c>
      <c r="C17" s="7" t="n">
        <v>0.024</v>
      </c>
      <c r="D17" s="7" t="n">
        <v>0.228</v>
      </c>
      <c r="E17" s="7" t="n">
        <v>0.064</v>
      </c>
      <c r="F17" s="27" t="n">
        <v>18</v>
      </c>
      <c r="G17" s="22" t="n">
        <v>0.74</v>
      </c>
      <c r="H17" s="23" t="s">
        <v>101</v>
      </c>
      <c r="I17" s="6" t="s">
        <v>102</v>
      </c>
    </row>
    <row r="19" customFormat="false" ht="15" hidden="false" customHeight="true" outlineLevel="0" collapsed="false">
      <c r="A19" s="29" t="s">
        <v>103</v>
      </c>
      <c r="B19" s="29"/>
      <c r="C19" s="29"/>
      <c r="D19" s="29"/>
      <c r="E19" s="29"/>
      <c r="F19" s="29"/>
      <c r="G19" s="29"/>
      <c r="H19" s="29"/>
      <c r="I19" s="29"/>
    </row>
    <row r="20" customFormat="false" ht="15" hidden="false" customHeight="true" outlineLevel="0" collapsed="false">
      <c r="A20" s="30" t="s">
        <v>104</v>
      </c>
      <c r="B20" s="31" t="n">
        <f aca="false">B18-B5</f>
        <v>-0.412</v>
      </c>
      <c r="C20" s="31" t="n">
        <f aca="false">C18-C5</f>
        <v>-0.031</v>
      </c>
      <c r="D20" s="31" t="n">
        <f aca="false">D18-D5</f>
        <v>-0.163</v>
      </c>
      <c r="E20" s="31" t="n">
        <f aca="false">E18-E5</f>
        <v>-0.082</v>
      </c>
      <c r="F20" s="32" t="n">
        <f aca="false">F18-F5</f>
        <v>-4.2</v>
      </c>
      <c r="G20" s="33" t="n">
        <f aca="false">G18-G5</f>
        <v>-0.61</v>
      </c>
      <c r="H20" s="34"/>
      <c r="I20" s="34"/>
    </row>
    <row r="21" customFormat="false" ht="15" hidden="false" customHeight="true" outlineLevel="0" collapsed="false">
      <c r="A21" s="35" t="s">
        <v>105</v>
      </c>
      <c r="B21" s="36" t="n">
        <f aca="false">(B20-B5)/B5</f>
        <v>-2</v>
      </c>
      <c r="C21" s="36" t="n">
        <f aca="false">(C20-C5)/C5</f>
        <v>-2</v>
      </c>
      <c r="D21" s="36" t="n">
        <f aca="false">(D20-D5)/D5</f>
        <v>-2</v>
      </c>
      <c r="E21" s="36" t="n">
        <f aca="false">(E20-E5)/E5</f>
        <v>-2</v>
      </c>
      <c r="F21" s="36" t="n">
        <f aca="false">(F20-F5)/F5</f>
        <v>-2</v>
      </c>
      <c r="G21" s="36" t="n">
        <f aca="false">(G20-G5)/G5</f>
        <v>-2</v>
      </c>
      <c r="H21" s="37"/>
      <c r="I21" s="37"/>
    </row>
    <row r="23" customFormat="false" ht="36" hidden="false" customHeight="true" outlineLevel="0" collapsed="false">
      <c r="A23" s="13" t="s">
        <v>106</v>
      </c>
      <c r="B23" s="13"/>
      <c r="C23" s="13"/>
      <c r="D23" s="13"/>
      <c r="E23" s="13"/>
      <c r="F23" s="13"/>
      <c r="G23" s="13"/>
      <c r="H23" s="13"/>
      <c r="I23" s="13"/>
    </row>
  </sheetData>
  <mergeCells count="4">
    <mergeCell ref="A1:J1"/>
    <mergeCell ref="A2:J2"/>
    <mergeCell ref="A19:I19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6"/>
    <col collapsed="false" customWidth="true" hidden="false" outlineLevel="0" max="6" min="6" style="1" width="12"/>
    <col collapsed="false" customWidth="true" hidden="false" outlineLevel="0" max="7" min="7" style="1" width="32"/>
  </cols>
  <sheetData>
    <row r="1" customFormat="false" ht="19.5" hidden="false" customHeight="true" outlineLevel="0" collapsed="false">
      <c r="A1" s="2" t="s">
        <v>107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108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29" t="s">
        <v>109</v>
      </c>
      <c r="B4" s="29"/>
      <c r="C4" s="29"/>
      <c r="D4" s="29"/>
      <c r="E4" s="29"/>
      <c r="F4" s="29"/>
      <c r="G4" s="29"/>
    </row>
    <row r="5" customFormat="false" ht="27.75" hidden="false" customHeight="true" outlineLevel="0" collapsed="false">
      <c r="A5" s="5" t="s">
        <v>110</v>
      </c>
      <c r="B5" s="5" t="s">
        <v>111</v>
      </c>
      <c r="C5" s="5" t="s">
        <v>112</v>
      </c>
      <c r="D5" s="5" t="s">
        <v>113</v>
      </c>
      <c r="E5" s="5" t="s">
        <v>114</v>
      </c>
      <c r="F5" s="5" t="s">
        <v>38</v>
      </c>
      <c r="G5" s="5" t="s">
        <v>9</v>
      </c>
    </row>
    <row r="6" customFormat="false" ht="15" hidden="false" customHeight="true" outlineLevel="0" collapsed="false">
      <c r="A6" s="16" t="s">
        <v>115</v>
      </c>
      <c r="B6" s="18" t="s">
        <v>116</v>
      </c>
      <c r="C6" s="26" t="n">
        <v>0.74</v>
      </c>
      <c r="D6" s="26" t="n">
        <v>0.96</v>
      </c>
      <c r="E6" s="38" t="n">
        <v>1.18</v>
      </c>
      <c r="F6" s="18" t="s">
        <v>46</v>
      </c>
      <c r="G6" s="18" t="s">
        <v>117</v>
      </c>
    </row>
    <row r="7" customFormat="false" ht="15" hidden="false" customHeight="true" outlineLevel="0" collapsed="false">
      <c r="A7" s="14" t="s">
        <v>118</v>
      </c>
      <c r="B7" s="15" t="s">
        <v>119</v>
      </c>
      <c r="C7" s="38" t="n">
        <v>0.91</v>
      </c>
      <c r="D7" s="15"/>
      <c r="E7" s="15"/>
      <c r="F7" s="15" t="s">
        <v>41</v>
      </c>
      <c r="G7" s="15" t="s">
        <v>120</v>
      </c>
    </row>
    <row r="8" customFormat="false" ht="15" hidden="false" customHeight="true" outlineLevel="0" collapsed="false">
      <c r="A8" s="16" t="s">
        <v>121</v>
      </c>
      <c r="B8" s="18" t="s">
        <v>122</v>
      </c>
      <c r="C8" s="39" t="n">
        <v>98</v>
      </c>
      <c r="D8" s="39" t="n">
        <v>141</v>
      </c>
      <c r="E8" s="39" t="n">
        <v>198</v>
      </c>
      <c r="F8" s="18" t="s">
        <v>46</v>
      </c>
      <c r="G8" s="18" t="s">
        <v>123</v>
      </c>
    </row>
    <row r="9" customFormat="false" ht="15" hidden="false" customHeight="true" outlineLevel="0" collapsed="false">
      <c r="A9" s="14" t="s">
        <v>124</v>
      </c>
      <c r="B9" s="15" t="s">
        <v>125</v>
      </c>
      <c r="C9" s="40" t="n">
        <v>312</v>
      </c>
      <c r="D9" s="40" t="n">
        <v>541</v>
      </c>
      <c r="E9" s="40" t="n">
        <v>820</v>
      </c>
      <c r="F9" s="15" t="s">
        <v>41</v>
      </c>
      <c r="G9" s="15" t="s">
        <v>126</v>
      </c>
    </row>
    <row r="10" customFormat="false" ht="15" hidden="false" customHeight="true" outlineLevel="0" collapsed="false">
      <c r="A10" s="14" t="s">
        <v>127</v>
      </c>
      <c r="B10" s="15" t="s">
        <v>128</v>
      </c>
      <c r="C10" s="40" t="n">
        <v>6800</v>
      </c>
      <c r="D10" s="40" t="n">
        <v>4100</v>
      </c>
      <c r="E10" s="40" t="n">
        <v>2400</v>
      </c>
      <c r="F10" s="15" t="s">
        <v>41</v>
      </c>
      <c r="G10" s="15" t="s">
        <v>129</v>
      </c>
    </row>
    <row r="11" customFormat="false" ht="15" hidden="false" customHeight="true" outlineLevel="0" collapsed="false">
      <c r="A11" s="14" t="s">
        <v>130</v>
      </c>
      <c r="B11" s="15" t="s">
        <v>131</v>
      </c>
      <c r="C11" s="40" t="n">
        <v>12</v>
      </c>
      <c r="D11" s="40" t="n">
        <v>12</v>
      </c>
      <c r="E11" s="40" t="n">
        <v>12</v>
      </c>
      <c r="F11" s="15" t="s">
        <v>41</v>
      </c>
      <c r="G11" s="15" t="s">
        <v>132</v>
      </c>
    </row>
    <row r="12" customFormat="false" ht="15" hidden="false" customHeight="true" outlineLevel="0" collapsed="false">
      <c r="A12" s="16" t="s">
        <v>133</v>
      </c>
      <c r="B12" s="18" t="s">
        <v>134</v>
      </c>
      <c r="C12" s="26" t="n">
        <v>0.38</v>
      </c>
      <c r="D12" s="26" t="n">
        <v>0.31</v>
      </c>
      <c r="E12" s="26" t="n">
        <v>0.24</v>
      </c>
      <c r="F12" s="18" t="s">
        <v>46</v>
      </c>
      <c r="G12" s="18" t="s">
        <v>135</v>
      </c>
    </row>
    <row r="13" customFormat="false" ht="15" hidden="false" customHeight="true" outlineLevel="0" collapsed="false">
      <c r="A13" s="16" t="s">
        <v>136</v>
      </c>
      <c r="B13" s="18" t="s">
        <v>137</v>
      </c>
      <c r="C13" s="26" t="n">
        <v>0.993</v>
      </c>
      <c r="D13" s="18"/>
      <c r="E13" s="18"/>
      <c r="F13" s="18" t="s">
        <v>46</v>
      </c>
      <c r="G13" s="18" t="s">
        <v>138</v>
      </c>
    </row>
    <row r="15" customFormat="false" ht="15" hidden="false" customHeight="true" outlineLevel="0" collapsed="false">
      <c r="A15" s="29" t="s">
        <v>139</v>
      </c>
      <c r="B15" s="29"/>
      <c r="C15" s="29"/>
      <c r="D15" s="29"/>
      <c r="E15" s="29"/>
      <c r="F15" s="29"/>
      <c r="G15" s="29"/>
    </row>
    <row r="16" customFormat="false" ht="27.75" hidden="false" customHeight="true" outlineLevel="0" collapsed="false">
      <c r="A16" s="5" t="s">
        <v>110</v>
      </c>
      <c r="B16" s="5" t="s">
        <v>111</v>
      </c>
      <c r="C16" s="5" t="s">
        <v>112</v>
      </c>
      <c r="D16" s="5" t="s">
        <v>140</v>
      </c>
      <c r="E16" s="5" t="s">
        <v>141</v>
      </c>
      <c r="F16" s="5" t="s">
        <v>38</v>
      </c>
      <c r="G16" s="5" t="s">
        <v>9</v>
      </c>
    </row>
    <row r="17" customFormat="false" ht="15" hidden="false" customHeight="true" outlineLevel="0" collapsed="false">
      <c r="A17" s="14" t="s">
        <v>142</v>
      </c>
      <c r="B17" s="15" t="s">
        <v>143</v>
      </c>
      <c r="C17" s="15" t="s">
        <v>144</v>
      </c>
      <c r="D17" s="15" t="s">
        <v>145</v>
      </c>
      <c r="E17" s="15" t="s">
        <v>146</v>
      </c>
      <c r="F17" s="15" t="s">
        <v>41</v>
      </c>
      <c r="G17" s="15" t="s">
        <v>147</v>
      </c>
    </row>
    <row r="18" customFormat="false" ht="15" hidden="false" customHeight="true" outlineLevel="0" collapsed="false">
      <c r="A18" s="14" t="s">
        <v>148</v>
      </c>
      <c r="B18" s="15" t="s">
        <v>149</v>
      </c>
      <c r="C18" s="15" t="s">
        <v>150</v>
      </c>
      <c r="D18" s="15" t="s">
        <v>151</v>
      </c>
      <c r="E18" s="15" t="s">
        <v>152</v>
      </c>
      <c r="F18" s="15" t="s">
        <v>41</v>
      </c>
      <c r="G18" s="15"/>
    </row>
    <row r="19" customFormat="false" ht="15" hidden="false" customHeight="true" outlineLevel="0" collapsed="false">
      <c r="A19" s="14" t="s">
        <v>153</v>
      </c>
      <c r="B19" s="15" t="s">
        <v>154</v>
      </c>
      <c r="C19" s="15" t="s">
        <v>155</v>
      </c>
      <c r="D19" s="15" t="s">
        <v>156</v>
      </c>
      <c r="E19" s="15" t="s">
        <v>157</v>
      </c>
      <c r="F19" s="15" t="s">
        <v>41</v>
      </c>
      <c r="G19" s="15" t="s">
        <v>158</v>
      </c>
    </row>
    <row r="20" customFormat="false" ht="15" hidden="false" customHeight="true" outlineLevel="0" collapsed="false">
      <c r="A20" s="14" t="s">
        <v>159</v>
      </c>
      <c r="B20" s="15" t="s">
        <v>160</v>
      </c>
      <c r="C20" s="15" t="s">
        <v>161</v>
      </c>
      <c r="D20" s="15" t="s">
        <v>151</v>
      </c>
      <c r="E20" s="15" t="s">
        <v>162</v>
      </c>
      <c r="F20" s="15" t="s">
        <v>41</v>
      </c>
      <c r="G20" s="15"/>
    </row>
    <row r="21" customFormat="false" ht="15" hidden="false" customHeight="true" outlineLevel="0" collapsed="false">
      <c r="A21" s="16" t="s">
        <v>163</v>
      </c>
      <c r="B21" s="18" t="s">
        <v>164</v>
      </c>
      <c r="C21" s="18" t="s">
        <v>165</v>
      </c>
      <c r="D21" s="18" t="s">
        <v>166</v>
      </c>
      <c r="E21" s="18" t="s">
        <v>167</v>
      </c>
      <c r="F21" s="18" t="s">
        <v>46</v>
      </c>
      <c r="G21" s="18"/>
    </row>
    <row r="22" customFormat="false" ht="15" hidden="false" customHeight="true" outlineLevel="0" collapsed="false">
      <c r="A22" s="41" t="s">
        <v>168</v>
      </c>
      <c r="B22" s="42" t="s">
        <v>164</v>
      </c>
      <c r="C22" s="42" t="s">
        <v>164</v>
      </c>
      <c r="D22" s="42" t="s">
        <v>169</v>
      </c>
      <c r="E22" s="42" t="s">
        <v>170</v>
      </c>
      <c r="F22" s="42" t="s">
        <v>171</v>
      </c>
      <c r="G22" s="42"/>
    </row>
    <row r="23" customFormat="false" ht="15" hidden="false" customHeight="true" outlineLevel="0" collapsed="false">
      <c r="A23" s="16" t="s">
        <v>172</v>
      </c>
      <c r="B23" s="18" t="s">
        <v>173</v>
      </c>
      <c r="C23" s="18" t="s">
        <v>174</v>
      </c>
      <c r="D23" s="18" t="s">
        <v>156</v>
      </c>
      <c r="E23" s="18" t="s">
        <v>175</v>
      </c>
      <c r="F23" s="18" t="s">
        <v>46</v>
      </c>
      <c r="G23" s="18"/>
    </row>
    <row r="25" customFormat="false" ht="15" hidden="false" customHeight="true" outlineLevel="0" collapsed="false">
      <c r="A25" s="29" t="s">
        <v>176</v>
      </c>
      <c r="B25" s="29"/>
      <c r="C25" s="29"/>
      <c r="D25" s="29"/>
      <c r="E25" s="29"/>
      <c r="F25" s="29"/>
      <c r="G25" s="29"/>
    </row>
    <row r="26" customFormat="false" ht="27.75" hidden="false" customHeight="true" outlineLevel="0" collapsed="false">
      <c r="A26" s="5" t="s">
        <v>110</v>
      </c>
      <c r="B26" s="5" t="s">
        <v>177</v>
      </c>
      <c r="C26" s="5" t="s">
        <v>178</v>
      </c>
      <c r="D26" s="5" t="s">
        <v>179</v>
      </c>
      <c r="E26" s="5" t="s">
        <v>180</v>
      </c>
      <c r="F26" s="5" t="s">
        <v>181</v>
      </c>
      <c r="G26" s="5" t="s">
        <v>9</v>
      </c>
    </row>
    <row r="27" customFormat="false" ht="15" hidden="false" customHeight="true" outlineLevel="0" collapsed="false">
      <c r="A27" s="6" t="s">
        <v>182</v>
      </c>
      <c r="B27" s="9" t="s">
        <v>183</v>
      </c>
      <c r="C27" s="9" t="s">
        <v>184</v>
      </c>
      <c r="D27" s="9" t="s">
        <v>185</v>
      </c>
      <c r="E27" s="9" t="s">
        <v>131</v>
      </c>
      <c r="F27" s="9" t="s">
        <v>131</v>
      </c>
      <c r="G27" s="9" t="s">
        <v>186</v>
      </c>
    </row>
    <row r="28" customFormat="false" ht="15" hidden="false" customHeight="true" outlineLevel="0" collapsed="false">
      <c r="A28" s="10" t="s">
        <v>187</v>
      </c>
      <c r="B28" s="12" t="s">
        <v>188</v>
      </c>
      <c r="C28" s="12" t="s">
        <v>188</v>
      </c>
      <c r="D28" s="12" t="s">
        <v>131</v>
      </c>
      <c r="E28" s="12" t="s">
        <v>131</v>
      </c>
      <c r="F28" s="12" t="s">
        <v>131</v>
      </c>
      <c r="G28" s="12" t="s">
        <v>189</v>
      </c>
    </row>
    <row r="29" customFormat="false" ht="15" hidden="false" customHeight="true" outlineLevel="0" collapsed="false">
      <c r="A29" s="16" t="s">
        <v>190</v>
      </c>
      <c r="B29" s="18" t="s">
        <v>191</v>
      </c>
      <c r="C29" s="18" t="s">
        <v>192</v>
      </c>
      <c r="D29" s="18" t="s">
        <v>193</v>
      </c>
      <c r="E29" s="18" t="s">
        <v>194</v>
      </c>
      <c r="F29" s="18" t="s">
        <v>131</v>
      </c>
      <c r="G29" s="18" t="s">
        <v>195</v>
      </c>
    </row>
    <row r="30" customFormat="false" ht="15" hidden="false" customHeight="true" outlineLevel="0" collapsed="false">
      <c r="A30" s="14" t="s">
        <v>196</v>
      </c>
      <c r="B30" s="15" t="s">
        <v>197</v>
      </c>
      <c r="C30" s="15" t="s">
        <v>198</v>
      </c>
      <c r="D30" s="15" t="s">
        <v>199</v>
      </c>
      <c r="E30" s="15" t="s">
        <v>200</v>
      </c>
      <c r="F30" s="15" t="s">
        <v>201</v>
      </c>
      <c r="G30" s="15" t="s">
        <v>202</v>
      </c>
    </row>
    <row r="31" customFormat="false" ht="15" hidden="false" customHeight="true" outlineLevel="0" collapsed="false">
      <c r="A31" s="6" t="s">
        <v>203</v>
      </c>
      <c r="B31" s="9" t="s">
        <v>204</v>
      </c>
      <c r="C31" s="9" t="s">
        <v>205</v>
      </c>
      <c r="D31" s="9" t="s">
        <v>206</v>
      </c>
      <c r="E31" s="9" t="s">
        <v>131</v>
      </c>
      <c r="F31" s="9" t="s">
        <v>131</v>
      </c>
      <c r="G31" s="9"/>
    </row>
    <row r="32" customFormat="false" ht="15" hidden="false" customHeight="true" outlineLevel="0" collapsed="false">
      <c r="A32" s="43" t="s">
        <v>207</v>
      </c>
      <c r="B32" s="44" t="n">
        <f aca="false">B31*12</f>
        <v>50.4</v>
      </c>
      <c r="C32" s="44" t="n">
        <f aca="false">C31*12</f>
        <v>81.6</v>
      </c>
      <c r="D32" s="45" t="n">
        <f aca="false">(C32-B32)/B32</f>
        <v>0.619047619047619</v>
      </c>
      <c r="E32" s="46"/>
      <c r="F32" s="46" t="s">
        <v>131</v>
      </c>
      <c r="G32" s="43" t="s">
        <v>208</v>
      </c>
    </row>
    <row r="33" customFormat="false" ht="15" hidden="false" customHeight="true" outlineLevel="0" collapsed="false">
      <c r="A33" s="16" t="s">
        <v>209</v>
      </c>
      <c r="B33" s="18" t="s">
        <v>210</v>
      </c>
      <c r="C33" s="18" t="s">
        <v>211</v>
      </c>
      <c r="D33" s="18" t="s">
        <v>131</v>
      </c>
      <c r="E33" s="18" t="s">
        <v>212</v>
      </c>
      <c r="F33" s="18" t="s">
        <v>213</v>
      </c>
      <c r="G33" s="18" t="s">
        <v>214</v>
      </c>
    </row>
    <row r="34" customFormat="false" ht="15" hidden="false" customHeight="true" outlineLevel="0" collapsed="false">
      <c r="A34" s="16" t="s">
        <v>215</v>
      </c>
      <c r="B34" s="18" t="s">
        <v>216</v>
      </c>
      <c r="C34" s="18" t="s">
        <v>217</v>
      </c>
      <c r="D34" s="18" t="s">
        <v>131</v>
      </c>
      <c r="E34" s="18" t="s">
        <v>218</v>
      </c>
      <c r="F34" s="18" t="s">
        <v>219</v>
      </c>
      <c r="G34" s="18" t="s">
        <v>220</v>
      </c>
    </row>
    <row r="36" customFormat="false" ht="15" hidden="false" customHeight="true" outlineLevel="0" collapsed="false">
      <c r="A36" s="29" t="s">
        <v>221</v>
      </c>
      <c r="B36" s="29"/>
      <c r="C36" s="29"/>
      <c r="D36" s="29"/>
      <c r="E36" s="29"/>
      <c r="F36" s="29"/>
      <c r="G36" s="29"/>
    </row>
    <row r="37" customFormat="false" ht="15" hidden="false" customHeight="true" outlineLevel="0" collapsed="false">
      <c r="A37" s="5" t="s">
        <v>222</v>
      </c>
      <c r="B37" s="5" t="s">
        <v>223</v>
      </c>
      <c r="C37" s="5" t="s">
        <v>224</v>
      </c>
      <c r="D37" s="5" t="s">
        <v>225</v>
      </c>
      <c r="E37" s="5" t="s">
        <v>181</v>
      </c>
      <c r="F37" s="5" t="s">
        <v>226</v>
      </c>
      <c r="G37" s="5"/>
    </row>
    <row r="38" customFormat="false" ht="15" hidden="false" customHeight="true" outlineLevel="0" collapsed="false">
      <c r="A38" s="14" t="s">
        <v>227</v>
      </c>
      <c r="B38" s="15" t="s">
        <v>228</v>
      </c>
      <c r="C38" s="15" t="s">
        <v>229</v>
      </c>
      <c r="D38" s="47" t="n">
        <v>95</v>
      </c>
      <c r="E38" s="15" t="s">
        <v>219</v>
      </c>
      <c r="F38" s="15" t="s">
        <v>230</v>
      </c>
      <c r="G38" s="15" t="s">
        <v>231</v>
      </c>
    </row>
    <row r="39" customFormat="false" ht="15" hidden="false" customHeight="true" outlineLevel="0" collapsed="false">
      <c r="A39" s="14" t="s">
        <v>232</v>
      </c>
      <c r="B39" s="15" t="s">
        <v>197</v>
      </c>
      <c r="C39" s="15" t="s">
        <v>198</v>
      </c>
      <c r="D39" s="47" t="n">
        <v>60</v>
      </c>
      <c r="E39" s="15" t="s">
        <v>233</v>
      </c>
      <c r="F39" s="15" t="s">
        <v>230</v>
      </c>
      <c r="G39" s="15" t="s">
        <v>234</v>
      </c>
    </row>
    <row r="40" customFormat="false" ht="15" hidden="false" customHeight="true" outlineLevel="0" collapsed="false">
      <c r="A40" s="6" t="s">
        <v>235</v>
      </c>
      <c r="B40" s="9" t="s">
        <v>236</v>
      </c>
      <c r="C40" s="9" t="s">
        <v>237</v>
      </c>
      <c r="D40" s="48" t="n">
        <v>25</v>
      </c>
      <c r="E40" s="9" t="s">
        <v>238</v>
      </c>
      <c r="F40" s="9" t="s">
        <v>239</v>
      </c>
      <c r="G40" s="9" t="s">
        <v>240</v>
      </c>
    </row>
    <row r="41" customFormat="false" ht="15" hidden="false" customHeight="true" outlineLevel="0" collapsed="false">
      <c r="A41" s="10" t="s">
        <v>241</v>
      </c>
      <c r="B41" s="12" t="s">
        <v>242</v>
      </c>
      <c r="C41" s="12" t="s">
        <v>143</v>
      </c>
      <c r="D41" s="49" t="n">
        <v>12</v>
      </c>
      <c r="E41" s="12" t="s">
        <v>243</v>
      </c>
      <c r="F41" s="12" t="s">
        <v>239</v>
      </c>
      <c r="G41" s="12" t="s">
        <v>244</v>
      </c>
    </row>
    <row r="42" customFormat="false" ht="15" hidden="false" customHeight="true" outlineLevel="0" collapsed="false">
      <c r="A42" s="14" t="s">
        <v>245</v>
      </c>
      <c r="B42" s="15" t="s">
        <v>246</v>
      </c>
      <c r="C42" s="15" t="s">
        <v>247</v>
      </c>
      <c r="D42" s="47" t="n">
        <v>4.2</v>
      </c>
      <c r="E42" s="15" t="s">
        <v>248</v>
      </c>
      <c r="F42" s="15" t="s">
        <v>230</v>
      </c>
      <c r="G42" s="15" t="s">
        <v>249</v>
      </c>
    </row>
    <row r="43" customFormat="false" ht="15" hidden="false" customHeight="true" outlineLevel="0" collapsed="false">
      <c r="A43" s="10" t="s">
        <v>250</v>
      </c>
      <c r="B43" s="12" t="s">
        <v>251</v>
      </c>
      <c r="C43" s="12" t="s">
        <v>252</v>
      </c>
      <c r="D43" s="49" t="n">
        <v>8</v>
      </c>
      <c r="E43" s="12" t="s">
        <v>219</v>
      </c>
      <c r="F43" s="12" t="s">
        <v>239</v>
      </c>
      <c r="G43" s="12" t="s">
        <v>253</v>
      </c>
    </row>
    <row r="44" customFormat="false" ht="15" hidden="false" customHeight="true" outlineLevel="0" collapsed="false">
      <c r="A44" s="50" t="s">
        <v>254</v>
      </c>
      <c r="B44" s="51"/>
      <c r="C44" s="51"/>
      <c r="D44" s="52" t="n">
        <f aca="false">SUM(D38:D43)</f>
        <v>204.2</v>
      </c>
      <c r="E44" s="51"/>
      <c r="F44" s="51"/>
      <c r="G44" s="51"/>
    </row>
  </sheetData>
  <mergeCells count="6">
    <mergeCell ref="A1:J1"/>
    <mergeCell ref="A2:J2"/>
    <mergeCell ref="A4:G4"/>
    <mergeCell ref="A15:G15"/>
    <mergeCell ref="A25:G2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8"/>
    <col collapsed="false" customWidth="true" hidden="false" outlineLevel="0" max="5" min="5" style="1" width="30"/>
  </cols>
  <sheetData>
    <row r="1" customFormat="false" ht="19.5" hidden="false" customHeight="true" outlineLevel="0" collapsed="false">
      <c r="A1" s="2" t="s">
        <v>255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256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29" t="s">
        <v>257</v>
      </c>
      <c r="B4" s="29"/>
      <c r="C4" s="29"/>
      <c r="D4" s="29"/>
      <c r="E4" s="29"/>
    </row>
    <row r="5" customFormat="false" ht="15" hidden="false" customHeight="true" outlineLevel="0" collapsed="false">
      <c r="A5" s="5" t="s">
        <v>258</v>
      </c>
      <c r="B5" s="5" t="s">
        <v>259</v>
      </c>
      <c r="C5" s="5" t="s">
        <v>260</v>
      </c>
      <c r="D5" s="5" t="s">
        <v>261</v>
      </c>
      <c r="E5" s="5" t="s">
        <v>9</v>
      </c>
    </row>
    <row r="6" customFormat="false" ht="15" hidden="false" customHeight="true" outlineLevel="0" collapsed="false">
      <c r="A6" s="6" t="s">
        <v>262</v>
      </c>
      <c r="B6" s="48" t="n">
        <v>0</v>
      </c>
      <c r="C6" s="48" t="n">
        <v>1.8</v>
      </c>
      <c r="D6" s="48" t="n">
        <f aca="false">C6*12</f>
        <v>21.6</v>
      </c>
      <c r="E6" s="9" t="s">
        <v>263</v>
      </c>
    </row>
    <row r="7" customFormat="false" ht="15" hidden="false" customHeight="true" outlineLevel="0" collapsed="false">
      <c r="A7" s="10" t="s">
        <v>264</v>
      </c>
      <c r="B7" s="49" t="n">
        <v>0</v>
      </c>
      <c r="C7" s="49" t="n">
        <v>1.2</v>
      </c>
      <c r="D7" s="49" t="n">
        <f aca="false">C7*12</f>
        <v>14.4</v>
      </c>
      <c r="E7" s="12" t="s">
        <v>265</v>
      </c>
    </row>
    <row r="8" customFormat="false" ht="15" hidden="false" customHeight="true" outlineLevel="0" collapsed="false">
      <c r="A8" s="6" t="s">
        <v>266</v>
      </c>
      <c r="B8" s="48" t="n">
        <v>0</v>
      </c>
      <c r="C8" s="48" t="n">
        <v>0.6</v>
      </c>
      <c r="D8" s="48" t="n">
        <f aca="false">C8*12</f>
        <v>7.2</v>
      </c>
      <c r="E8" s="9" t="s">
        <v>267</v>
      </c>
    </row>
    <row r="9" customFormat="false" ht="15" hidden="false" customHeight="true" outlineLevel="0" collapsed="false">
      <c r="A9" s="10" t="s">
        <v>268</v>
      </c>
      <c r="B9" s="49" t="n">
        <v>0</v>
      </c>
      <c r="C9" s="49" t="n">
        <v>0.6</v>
      </c>
      <c r="D9" s="49" t="n">
        <f aca="false">C9*12</f>
        <v>7.2</v>
      </c>
      <c r="E9" s="12" t="s">
        <v>269</v>
      </c>
    </row>
    <row r="10" customFormat="false" ht="15" hidden="false" customHeight="true" outlineLevel="0" collapsed="false">
      <c r="A10" s="30" t="s">
        <v>270</v>
      </c>
      <c r="B10" s="53" t="n">
        <v>0</v>
      </c>
      <c r="C10" s="53" t="n">
        <f aca="false">SUM(C6:C9)</f>
        <v>4.2</v>
      </c>
      <c r="D10" s="53" t="n">
        <f aca="false">C10*12</f>
        <v>50.4</v>
      </c>
      <c r="E10" s="34"/>
    </row>
    <row r="11" customFormat="false" ht="15" hidden="false" customHeight="true" outlineLevel="0" collapsed="false">
      <c r="A11" s="10" t="s">
        <v>271</v>
      </c>
      <c r="B11" s="49" t="n">
        <v>4.2</v>
      </c>
      <c r="C11" s="49" t="n">
        <v>0</v>
      </c>
      <c r="D11" s="49"/>
      <c r="E11" s="12" t="s">
        <v>272</v>
      </c>
    </row>
    <row r="12" customFormat="false" ht="15" hidden="false" customHeight="true" outlineLevel="0" collapsed="false">
      <c r="A12" s="30" t="s">
        <v>273</v>
      </c>
      <c r="B12" s="53" t="n">
        <f aca="false">B11</f>
        <v>4.2</v>
      </c>
      <c r="C12" s="53" t="n">
        <f aca="false">C10*12</f>
        <v>50.4</v>
      </c>
      <c r="D12" s="53"/>
      <c r="E12" s="34"/>
    </row>
    <row r="15" customFormat="false" ht="15" hidden="false" customHeight="true" outlineLevel="0" collapsed="false">
      <c r="A15" s="29" t="s">
        <v>274</v>
      </c>
      <c r="B15" s="29"/>
      <c r="C15" s="29"/>
      <c r="D15" s="29"/>
      <c r="E15" s="29"/>
    </row>
    <row r="16" customFormat="false" ht="36" hidden="false" customHeight="true" outlineLevel="0" collapsed="false">
      <c r="A16" s="5" t="s">
        <v>110</v>
      </c>
      <c r="B16" s="19" t="s">
        <v>275</v>
      </c>
      <c r="C16" s="19" t="s">
        <v>276</v>
      </c>
      <c r="D16" s="19" t="s">
        <v>277</v>
      </c>
      <c r="E16" s="5" t="s">
        <v>9</v>
      </c>
    </row>
    <row r="17" customFormat="false" ht="15" hidden="false" customHeight="true" outlineLevel="0" collapsed="false">
      <c r="A17" s="10" t="s">
        <v>278</v>
      </c>
      <c r="B17" s="9" t="s">
        <v>279</v>
      </c>
      <c r="C17" s="9" t="s">
        <v>280</v>
      </c>
      <c r="D17" s="9" t="s">
        <v>281</v>
      </c>
      <c r="E17" s="12"/>
    </row>
    <row r="18" customFormat="false" ht="15" hidden="false" customHeight="true" outlineLevel="0" collapsed="false">
      <c r="A18" s="10" t="s">
        <v>30</v>
      </c>
      <c r="B18" s="9" t="s">
        <v>282</v>
      </c>
      <c r="C18" s="9" t="s">
        <v>283</v>
      </c>
      <c r="D18" s="9" t="s">
        <v>284</v>
      </c>
      <c r="E18" s="12"/>
    </row>
    <row r="19" customFormat="false" ht="15" hidden="false" customHeight="true" outlineLevel="0" collapsed="false">
      <c r="A19" s="10" t="s">
        <v>285</v>
      </c>
      <c r="B19" s="9" t="s">
        <v>286</v>
      </c>
      <c r="C19" s="9" t="s">
        <v>287</v>
      </c>
      <c r="D19" s="9" t="s">
        <v>288</v>
      </c>
      <c r="E19" s="12" t="s">
        <v>289</v>
      </c>
    </row>
    <row r="20" customFormat="false" ht="15" hidden="false" customHeight="true" outlineLevel="0" collapsed="false">
      <c r="A20" s="10" t="s">
        <v>290</v>
      </c>
      <c r="B20" s="9" t="s">
        <v>291</v>
      </c>
      <c r="C20" s="9" t="s">
        <v>292</v>
      </c>
      <c r="D20" s="9" t="s">
        <v>293</v>
      </c>
      <c r="E20" s="12"/>
    </row>
    <row r="21" customFormat="false" ht="15" hidden="false" customHeight="true" outlineLevel="0" collapsed="false">
      <c r="A21" s="10" t="s">
        <v>294</v>
      </c>
      <c r="B21" s="9" t="s">
        <v>295</v>
      </c>
      <c r="C21" s="9" t="s">
        <v>296</v>
      </c>
      <c r="D21" s="9" t="s">
        <v>297</v>
      </c>
      <c r="E21" s="12"/>
    </row>
    <row r="22" customFormat="false" ht="15" hidden="false" customHeight="true" outlineLevel="0" collapsed="false">
      <c r="A22" s="10" t="s">
        <v>298</v>
      </c>
      <c r="B22" s="9" t="s">
        <v>299</v>
      </c>
      <c r="C22" s="9" t="s">
        <v>300</v>
      </c>
      <c r="D22" s="9" t="s">
        <v>301</v>
      </c>
      <c r="E22" s="12"/>
    </row>
    <row r="23" customFormat="false" ht="15" hidden="false" customHeight="true" outlineLevel="0" collapsed="false">
      <c r="A23" s="10" t="s">
        <v>302</v>
      </c>
      <c r="B23" s="9" t="s">
        <v>303</v>
      </c>
      <c r="C23" s="9" t="s">
        <v>304</v>
      </c>
      <c r="D23" s="9" t="s">
        <v>305</v>
      </c>
      <c r="E23" s="12"/>
    </row>
    <row r="24" customFormat="false" ht="15" hidden="false" customHeight="true" outlineLevel="0" collapsed="false">
      <c r="A24" s="10" t="s">
        <v>306</v>
      </c>
      <c r="B24" s="9" t="s">
        <v>307</v>
      </c>
      <c r="C24" s="9" t="s">
        <v>308</v>
      </c>
      <c r="D24" s="9" t="s">
        <v>309</v>
      </c>
      <c r="E24" s="12"/>
    </row>
    <row r="25" customFormat="false" ht="15" hidden="false" customHeight="true" outlineLevel="0" collapsed="false">
      <c r="A25" s="10" t="s">
        <v>310</v>
      </c>
      <c r="B25" s="9" t="s">
        <v>311</v>
      </c>
      <c r="C25" s="9" t="s">
        <v>312</v>
      </c>
      <c r="D25" s="9" t="s">
        <v>313</v>
      </c>
      <c r="E25" s="12"/>
    </row>
    <row r="26" customFormat="false" ht="15" hidden="false" customHeight="true" outlineLevel="0" collapsed="false">
      <c r="A26" s="10" t="s">
        <v>314</v>
      </c>
      <c r="B26" s="9" t="s">
        <v>315</v>
      </c>
      <c r="C26" s="9" t="s">
        <v>316</v>
      </c>
      <c r="D26" s="9" t="s">
        <v>317</v>
      </c>
      <c r="E26" s="12" t="s">
        <v>318</v>
      </c>
    </row>
    <row r="27" customFormat="false" ht="15" hidden="false" customHeight="true" outlineLevel="0" collapsed="false">
      <c r="A27" s="10" t="s">
        <v>319</v>
      </c>
      <c r="B27" s="9" t="s">
        <v>320</v>
      </c>
      <c r="C27" s="9" t="s">
        <v>321</v>
      </c>
      <c r="D27" s="9" t="s">
        <v>322</v>
      </c>
      <c r="E27" s="12"/>
    </row>
    <row r="28" customFormat="false" ht="15" hidden="false" customHeight="true" outlineLevel="0" collapsed="false">
      <c r="A28" s="54" t="s">
        <v>323</v>
      </c>
      <c r="B28" s="37" t="s">
        <v>324</v>
      </c>
      <c r="C28" s="55" t="s">
        <v>325</v>
      </c>
      <c r="D28" s="51" t="s">
        <v>326</v>
      </c>
      <c r="E28" s="56"/>
    </row>
    <row r="31" customFormat="false" ht="15" hidden="false" customHeight="true" outlineLevel="0" collapsed="false">
      <c r="A31" s="29" t="s">
        <v>327</v>
      </c>
      <c r="B31" s="29"/>
      <c r="C31" s="29"/>
      <c r="D31" s="29"/>
      <c r="E31" s="29"/>
    </row>
    <row r="32" customFormat="false" ht="15" hidden="false" customHeight="true" outlineLevel="0" collapsed="false">
      <c r="A32" s="5" t="s">
        <v>328</v>
      </c>
      <c r="B32" s="5" t="s">
        <v>329</v>
      </c>
      <c r="C32" s="5" t="s">
        <v>330</v>
      </c>
      <c r="D32" s="5" t="s">
        <v>331</v>
      </c>
      <c r="E32" s="5" t="s">
        <v>332</v>
      </c>
    </row>
    <row r="33" customFormat="false" ht="15" hidden="false" customHeight="true" outlineLevel="0" collapsed="false">
      <c r="A33" s="6" t="s">
        <v>333</v>
      </c>
      <c r="B33" s="9" t="s">
        <v>334</v>
      </c>
      <c r="C33" s="9" t="s">
        <v>335</v>
      </c>
      <c r="D33" s="9" t="s">
        <v>336</v>
      </c>
      <c r="E33" s="9" t="s">
        <v>337</v>
      </c>
    </row>
    <row r="34" customFormat="false" ht="15" hidden="false" customHeight="true" outlineLevel="0" collapsed="false">
      <c r="A34" s="10" t="s">
        <v>338</v>
      </c>
      <c r="B34" s="12" t="s">
        <v>339</v>
      </c>
      <c r="C34" s="12" t="s">
        <v>340</v>
      </c>
      <c r="D34" s="12" t="s">
        <v>341</v>
      </c>
      <c r="E34" s="12" t="s">
        <v>342</v>
      </c>
    </row>
    <row r="35" customFormat="false" ht="15" hidden="false" customHeight="true" outlineLevel="0" collapsed="false">
      <c r="A35" s="6" t="s">
        <v>343</v>
      </c>
      <c r="B35" s="9" t="s">
        <v>344</v>
      </c>
      <c r="C35" s="9" t="s">
        <v>345</v>
      </c>
      <c r="D35" s="9" t="s">
        <v>346</v>
      </c>
      <c r="E35" s="9" t="s">
        <v>347</v>
      </c>
    </row>
    <row r="36" customFormat="false" ht="15" hidden="false" customHeight="true" outlineLevel="0" collapsed="false">
      <c r="A36" s="10" t="s">
        <v>348</v>
      </c>
      <c r="B36" s="12" t="s">
        <v>349</v>
      </c>
      <c r="C36" s="12" t="s">
        <v>350</v>
      </c>
      <c r="D36" s="12" t="s">
        <v>351</v>
      </c>
      <c r="E36" s="12" t="s">
        <v>352</v>
      </c>
    </row>
    <row r="37" customFormat="false" ht="15" hidden="false" customHeight="true" outlineLevel="0" collapsed="false">
      <c r="A37" s="6" t="s">
        <v>353</v>
      </c>
      <c r="B37" s="9" t="s">
        <v>354</v>
      </c>
      <c r="C37" s="9" t="s">
        <v>354</v>
      </c>
      <c r="D37" s="9" t="s">
        <v>355</v>
      </c>
      <c r="E37" s="9" t="s">
        <v>356</v>
      </c>
    </row>
    <row r="38" customFormat="false" ht="15" hidden="false" customHeight="true" outlineLevel="0" collapsed="false">
      <c r="A38" s="10" t="s">
        <v>357</v>
      </c>
      <c r="B38" s="12" t="s">
        <v>358</v>
      </c>
      <c r="C38" s="12" t="s">
        <v>359</v>
      </c>
      <c r="D38" s="12" t="s">
        <v>360</v>
      </c>
      <c r="E38" s="12" t="s">
        <v>361</v>
      </c>
    </row>
    <row r="39" customFormat="false" ht="15" hidden="false" customHeight="true" outlineLevel="0" collapsed="false">
      <c r="A39" s="6" t="s">
        <v>362</v>
      </c>
      <c r="B39" s="9" t="s">
        <v>363</v>
      </c>
      <c r="C39" s="9" t="s">
        <v>364</v>
      </c>
      <c r="D39" s="9" t="s">
        <v>365</v>
      </c>
      <c r="E39" s="9" t="s">
        <v>337</v>
      </c>
    </row>
  </sheetData>
  <mergeCells count="5">
    <mergeCell ref="A1:J1"/>
    <mergeCell ref="A2:J2"/>
    <mergeCell ref="A4:E4"/>
    <mergeCell ref="A15:E15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38"/>
  </cols>
  <sheetData>
    <row r="1" customFormat="false" ht="19.5" hidden="false" customHeight="true" outlineLevel="0" collapsed="false">
      <c r="A1" s="2" t="s">
        <v>366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367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5" t="s">
        <v>368</v>
      </c>
      <c r="B4" s="5" t="s">
        <v>369</v>
      </c>
      <c r="C4" s="5" t="s">
        <v>370</v>
      </c>
      <c r="D4" s="5" t="s">
        <v>371</v>
      </c>
    </row>
    <row r="5" customFormat="false" ht="15" hidden="false" customHeight="true" outlineLevel="0" collapsed="false">
      <c r="A5" s="57" t="s">
        <v>372</v>
      </c>
      <c r="B5" s="9" t="n">
        <v>0.412</v>
      </c>
      <c r="C5" s="6"/>
      <c r="D5" s="6" t="s">
        <v>373</v>
      </c>
    </row>
    <row r="6" customFormat="false" ht="15" hidden="false" customHeight="true" outlineLevel="0" collapsed="false">
      <c r="A6" s="58" t="s">
        <v>374</v>
      </c>
      <c r="B6" s="12" t="n">
        <v>0.341</v>
      </c>
      <c r="C6" s="10"/>
      <c r="D6" s="10" t="s">
        <v>375</v>
      </c>
    </row>
    <row r="7" customFormat="false" ht="15" hidden="false" customHeight="true" outlineLevel="0" collapsed="false">
      <c r="A7" s="59" t="s">
        <v>376</v>
      </c>
      <c r="B7" s="15" t="n">
        <v>0.35</v>
      </c>
      <c r="C7" s="14"/>
      <c r="D7" s="14" t="s">
        <v>377</v>
      </c>
    </row>
    <row r="8" customFormat="false" ht="15" hidden="false" customHeight="true" outlineLevel="0" collapsed="false">
      <c r="A8" s="60" t="s">
        <v>378</v>
      </c>
      <c r="B8" s="42" t="n">
        <v>0.38</v>
      </c>
      <c r="C8" s="41"/>
      <c r="D8" s="41" t="s">
        <v>379</v>
      </c>
    </row>
    <row r="9" customFormat="false" ht="15" hidden="false" customHeight="true" outlineLevel="0" collapsed="false">
      <c r="A9" s="57" t="s">
        <v>380</v>
      </c>
      <c r="B9" s="9" t="n">
        <v>0.318</v>
      </c>
      <c r="C9" s="6"/>
      <c r="D9" s="6" t="s">
        <v>381</v>
      </c>
    </row>
    <row r="10" customFormat="false" ht="15" hidden="false" customHeight="true" outlineLevel="0" collapsed="false">
      <c r="A10" s="58" t="s">
        <v>382</v>
      </c>
      <c r="B10" s="12" t="n">
        <v>0.261</v>
      </c>
      <c r="C10" s="10"/>
      <c r="D10" s="10" t="s">
        <v>383</v>
      </c>
    </row>
    <row r="11" customFormat="false" ht="15" hidden="false" customHeight="true" outlineLevel="0" collapsed="false">
      <c r="A11" s="57" t="s">
        <v>384</v>
      </c>
      <c r="B11" s="9" t="n">
        <v>0.471</v>
      </c>
      <c r="C11" s="6"/>
      <c r="D11" s="6" t="s">
        <v>385</v>
      </c>
    </row>
    <row r="12" customFormat="false" ht="15" hidden="false" customHeight="true" outlineLevel="0" collapsed="false">
      <c r="A12" s="58" t="s">
        <v>386</v>
      </c>
      <c r="B12" s="12" t="n">
        <v>0.397</v>
      </c>
      <c r="C12" s="10"/>
      <c r="D12" s="10" t="s">
        <v>387</v>
      </c>
    </row>
    <row r="13" customFormat="false" ht="15" hidden="false" customHeight="true" outlineLevel="0" collapsed="false">
      <c r="A13" s="57" t="s">
        <v>388</v>
      </c>
      <c r="B13" s="7" t="n">
        <v>0.228</v>
      </c>
      <c r="C13" s="6" t="s">
        <v>389</v>
      </c>
      <c r="D13" s="6" t="s">
        <v>390</v>
      </c>
    </row>
    <row r="14" customFormat="false" ht="15" hidden="false" customHeight="true" outlineLevel="0" collapsed="false">
      <c r="A14" s="58" t="s">
        <v>391</v>
      </c>
      <c r="B14" s="11" t="n">
        <v>0.163</v>
      </c>
      <c r="C14" s="10" t="s">
        <v>389</v>
      </c>
      <c r="D14" s="10" t="s">
        <v>392</v>
      </c>
    </row>
    <row r="15" customFormat="false" ht="15" hidden="false" customHeight="true" outlineLevel="0" collapsed="false">
      <c r="A15" s="59" t="s">
        <v>393</v>
      </c>
      <c r="B15" s="8" t="n">
        <v>0.32</v>
      </c>
      <c r="C15" s="14" t="s">
        <v>389</v>
      </c>
      <c r="D15" s="14" t="s">
        <v>394</v>
      </c>
    </row>
    <row r="16" customFormat="false" ht="15" hidden="false" customHeight="true" outlineLevel="0" collapsed="false">
      <c r="A16" s="58" t="s">
        <v>395</v>
      </c>
      <c r="B16" s="11" t="n">
        <v>0.4</v>
      </c>
      <c r="C16" s="10" t="s">
        <v>389</v>
      </c>
      <c r="D16" s="10" t="s">
        <v>396</v>
      </c>
    </row>
    <row r="17" customFormat="false" ht="15" hidden="false" customHeight="true" outlineLevel="0" collapsed="false">
      <c r="A17" s="57" t="s">
        <v>397</v>
      </c>
      <c r="B17" s="7" t="n">
        <v>0.031</v>
      </c>
      <c r="C17" s="6" t="s">
        <v>389</v>
      </c>
      <c r="D17" s="6" t="s">
        <v>398</v>
      </c>
    </row>
    <row r="18" customFormat="false" ht="15" hidden="false" customHeight="true" outlineLevel="0" collapsed="false">
      <c r="A18" s="58" t="s">
        <v>399</v>
      </c>
      <c r="B18" s="11" t="n">
        <v>0.024</v>
      </c>
      <c r="C18" s="10" t="s">
        <v>389</v>
      </c>
      <c r="D18" s="10" t="s">
        <v>400</v>
      </c>
    </row>
    <row r="19" customFormat="false" ht="15" hidden="false" customHeight="true" outlineLevel="0" collapsed="false">
      <c r="A19" s="57" t="s">
        <v>401</v>
      </c>
      <c r="B19" s="7" t="n">
        <v>-0.226</v>
      </c>
      <c r="C19" s="6" t="s">
        <v>389</v>
      </c>
      <c r="D19" s="6" t="s">
        <v>402</v>
      </c>
    </row>
    <row r="20" customFormat="false" ht="15" hidden="false" customHeight="true" outlineLevel="0" collapsed="false">
      <c r="A20" s="58" t="s">
        <v>403</v>
      </c>
      <c r="B20" s="11" t="n">
        <v>0.518</v>
      </c>
      <c r="C20" s="10" t="s">
        <v>389</v>
      </c>
      <c r="D20" s="10" t="s">
        <v>404</v>
      </c>
    </row>
    <row r="21" customFormat="false" ht="15" hidden="false" customHeight="true" outlineLevel="0" collapsed="false">
      <c r="A21" s="57" t="s">
        <v>405</v>
      </c>
      <c r="B21" s="9" t="n">
        <v>13</v>
      </c>
      <c r="C21" s="6" t="s">
        <v>406</v>
      </c>
      <c r="D21" s="6" t="s">
        <v>407</v>
      </c>
    </row>
    <row r="22" customFormat="false" ht="15" hidden="false" customHeight="true" outlineLevel="0" collapsed="false">
      <c r="A22" s="58" t="s">
        <v>408</v>
      </c>
      <c r="B22" s="12" t="n">
        <v>-0.071</v>
      </c>
      <c r="C22" s="10" t="s">
        <v>409</v>
      </c>
      <c r="D22" s="10" t="s">
        <v>410</v>
      </c>
    </row>
    <row r="23" customFormat="false" ht="15" hidden="false" customHeight="true" outlineLevel="0" collapsed="false">
      <c r="A23" s="57" t="s">
        <v>411</v>
      </c>
      <c r="B23" s="7" t="n">
        <v>-0.172</v>
      </c>
      <c r="C23" s="6" t="s">
        <v>389</v>
      </c>
      <c r="D23" s="6" t="s">
        <v>412</v>
      </c>
    </row>
    <row r="24" customFormat="false" ht="15" hidden="false" customHeight="true" outlineLevel="0" collapsed="false">
      <c r="A24" s="59" t="s">
        <v>413</v>
      </c>
      <c r="B24" s="15" t="s">
        <v>414</v>
      </c>
      <c r="C24" s="14"/>
      <c r="D24" s="14" t="s">
        <v>415</v>
      </c>
    </row>
    <row r="25" customFormat="false" ht="15" hidden="false" customHeight="true" outlineLevel="0" collapsed="false">
      <c r="A25" s="57" t="s">
        <v>416</v>
      </c>
      <c r="B25" s="9" t="s">
        <v>417</v>
      </c>
      <c r="C25" s="6"/>
      <c r="D25" s="6" t="s">
        <v>418</v>
      </c>
    </row>
    <row r="26" customFormat="false" ht="15" hidden="false" customHeight="true" outlineLevel="0" collapsed="false">
      <c r="A26" s="58" t="s">
        <v>419</v>
      </c>
      <c r="B26" s="12" t="s">
        <v>420</v>
      </c>
      <c r="C26" s="10"/>
      <c r="D26" s="10" t="s">
        <v>421</v>
      </c>
    </row>
    <row r="27" customFormat="false" ht="15" hidden="false" customHeight="true" outlineLevel="0" collapsed="false">
      <c r="A27" s="57" t="s">
        <v>422</v>
      </c>
      <c r="B27" s="9" t="n">
        <v>12</v>
      </c>
      <c r="C27" s="6" t="s">
        <v>423</v>
      </c>
      <c r="D27" s="6" t="s">
        <v>424</v>
      </c>
    </row>
    <row r="28" customFormat="false" ht="15" hidden="false" customHeight="true" outlineLevel="0" collapsed="false">
      <c r="A28" s="58" t="s">
        <v>425</v>
      </c>
      <c r="B28" s="12" t="n">
        <v>28</v>
      </c>
      <c r="C28" s="10" t="s">
        <v>423</v>
      </c>
      <c r="D28" s="10" t="s">
        <v>426</v>
      </c>
    </row>
    <row r="29" customFormat="false" ht="15" hidden="false" customHeight="true" outlineLevel="0" collapsed="false">
      <c r="A29" s="57" t="s">
        <v>427</v>
      </c>
      <c r="B29" s="7" t="n">
        <v>0.74</v>
      </c>
      <c r="C29" s="6" t="s">
        <v>389</v>
      </c>
      <c r="D29" s="6" t="s">
        <v>428</v>
      </c>
    </row>
    <row r="30" customFormat="false" ht="15" hidden="false" customHeight="true" outlineLevel="0" collapsed="false">
      <c r="A30" s="58" t="s">
        <v>429</v>
      </c>
      <c r="B30" s="11" t="n">
        <v>0.91</v>
      </c>
      <c r="C30" s="10" t="s">
        <v>389</v>
      </c>
      <c r="D30" s="10" t="s">
        <v>430</v>
      </c>
    </row>
    <row r="31" customFormat="false" ht="15" hidden="false" customHeight="true" outlineLevel="0" collapsed="false">
      <c r="A31" s="59" t="s">
        <v>431</v>
      </c>
      <c r="B31" s="8" t="n">
        <v>1.18</v>
      </c>
      <c r="C31" s="14" t="s">
        <v>389</v>
      </c>
      <c r="D31" s="14" t="s">
        <v>432</v>
      </c>
    </row>
    <row r="32" customFormat="false" ht="15" hidden="false" customHeight="true" outlineLevel="0" collapsed="false">
      <c r="A32" s="58" t="s">
        <v>433</v>
      </c>
      <c r="B32" s="12" t="n">
        <v>98</v>
      </c>
      <c r="C32" s="10" t="s">
        <v>434</v>
      </c>
      <c r="D32" s="10" t="s">
        <v>435</v>
      </c>
    </row>
    <row r="33" customFormat="false" ht="15" hidden="false" customHeight="true" outlineLevel="0" collapsed="false">
      <c r="A33" s="57" t="s">
        <v>436</v>
      </c>
      <c r="B33" s="9" t="n">
        <v>312</v>
      </c>
      <c r="C33" s="6" t="s">
        <v>434</v>
      </c>
      <c r="D33" s="6" t="s">
        <v>437</v>
      </c>
    </row>
    <row r="34" customFormat="false" ht="15" hidden="false" customHeight="true" outlineLevel="0" collapsed="false">
      <c r="A34" s="58" t="s">
        <v>438</v>
      </c>
      <c r="B34" s="12" t="n">
        <v>541</v>
      </c>
      <c r="C34" s="10" t="s">
        <v>434</v>
      </c>
      <c r="D34" s="10" t="s">
        <v>439</v>
      </c>
    </row>
    <row r="35" customFormat="false" ht="15" hidden="false" customHeight="true" outlineLevel="0" collapsed="false">
      <c r="A35" s="57" t="s">
        <v>440</v>
      </c>
      <c r="B35" s="9" t="n">
        <v>6800</v>
      </c>
      <c r="C35" s="6" t="s">
        <v>441</v>
      </c>
      <c r="D35" s="6" t="s">
        <v>442</v>
      </c>
    </row>
    <row r="36" customFormat="false" ht="15" hidden="false" customHeight="true" outlineLevel="0" collapsed="false">
      <c r="A36" s="58" t="s">
        <v>443</v>
      </c>
      <c r="B36" s="12" t="n">
        <v>8000</v>
      </c>
      <c r="C36" s="10" t="s">
        <v>441</v>
      </c>
      <c r="D36" s="10" t="s">
        <v>444</v>
      </c>
    </row>
    <row r="37" customFormat="false" ht="15" hidden="false" customHeight="true" outlineLevel="0" collapsed="false">
      <c r="A37" s="57" t="s">
        <v>445</v>
      </c>
      <c r="B37" s="61" t="n">
        <v>18</v>
      </c>
      <c r="C37" s="6" t="s">
        <v>446</v>
      </c>
      <c r="D37" s="6" t="s">
        <v>447</v>
      </c>
    </row>
    <row r="38" customFormat="false" ht="15" hidden="false" customHeight="true" outlineLevel="0" collapsed="false">
      <c r="A38" s="58" t="s">
        <v>448</v>
      </c>
      <c r="B38" s="62" t="n">
        <v>4</v>
      </c>
      <c r="C38" s="10" t="s">
        <v>446</v>
      </c>
      <c r="D38" s="10" t="s">
        <v>449</v>
      </c>
    </row>
    <row r="39" customFormat="false" ht="15" hidden="false" customHeight="true" outlineLevel="0" collapsed="false">
      <c r="A39" s="57" t="s">
        <v>450</v>
      </c>
      <c r="B39" s="7" t="n">
        <v>0.993</v>
      </c>
      <c r="C39" s="6" t="s">
        <v>389</v>
      </c>
      <c r="D39" s="6" t="s">
        <v>451</v>
      </c>
    </row>
    <row r="40" customFormat="false" ht="15" hidden="false" customHeight="true" outlineLevel="0" collapsed="false">
      <c r="A40" s="58" t="s">
        <v>452</v>
      </c>
      <c r="B40" s="12" t="n">
        <v>8</v>
      </c>
      <c r="C40" s="10" t="s">
        <v>453</v>
      </c>
      <c r="D40" s="10" t="s">
        <v>454</v>
      </c>
    </row>
    <row r="41" customFormat="false" ht="15" hidden="false" customHeight="true" outlineLevel="0" collapsed="false">
      <c r="A41" s="57" t="s">
        <v>455</v>
      </c>
      <c r="B41" s="9" t="n">
        <v>18</v>
      </c>
      <c r="C41" s="6" t="s">
        <v>453</v>
      </c>
      <c r="D41" s="6" t="s">
        <v>456</v>
      </c>
    </row>
    <row r="42" customFormat="false" ht="15" hidden="false" customHeight="true" outlineLevel="0" collapsed="false">
      <c r="A42" s="58" t="s">
        <v>457</v>
      </c>
      <c r="B42" s="12" t="n">
        <v>204</v>
      </c>
      <c r="C42" s="10" t="s">
        <v>458</v>
      </c>
      <c r="D42" s="10" t="s">
        <v>459</v>
      </c>
    </row>
    <row r="43" customFormat="false" ht="15" hidden="false" customHeight="true" outlineLevel="0" collapsed="false">
      <c r="A43" s="57" t="s">
        <v>460</v>
      </c>
      <c r="B43" s="9" t="n">
        <v>4.2</v>
      </c>
      <c r="C43" s="6" t="s">
        <v>458</v>
      </c>
      <c r="D43" s="6" t="s">
        <v>461</v>
      </c>
    </row>
    <row r="44" customFormat="false" ht="15" hidden="false" customHeight="true" outlineLevel="0" collapsed="false">
      <c r="A44" s="58" t="s">
        <v>462</v>
      </c>
      <c r="B44" s="12" t="n">
        <v>50.4</v>
      </c>
      <c r="C44" s="10" t="s">
        <v>458</v>
      </c>
      <c r="D44" s="10" t="s">
        <v>463</v>
      </c>
    </row>
    <row r="45" customFormat="false" ht="15" hidden="false" customHeight="true" outlineLevel="0" collapsed="false">
      <c r="A45" s="57" t="s">
        <v>464</v>
      </c>
      <c r="B45" s="9" t="n">
        <v>38</v>
      </c>
      <c r="C45" s="6" t="s">
        <v>446</v>
      </c>
      <c r="D45" s="6" t="s">
        <v>465</v>
      </c>
    </row>
    <row r="46" customFormat="false" ht="15" hidden="false" customHeight="true" outlineLevel="0" collapsed="false">
      <c r="A46" s="58" t="s">
        <v>466</v>
      </c>
      <c r="B46" s="12" t="s">
        <v>467</v>
      </c>
      <c r="C46" s="10"/>
      <c r="D46" s="10" t="s">
        <v>468</v>
      </c>
    </row>
    <row r="47" customFormat="false" ht="15" hidden="false" customHeight="true" outlineLevel="0" collapsed="false">
      <c r="A47" s="57" t="s">
        <v>469</v>
      </c>
      <c r="B47" s="9" t="s">
        <v>470</v>
      </c>
      <c r="C47" s="6"/>
      <c r="D47" s="6" t="s">
        <v>471</v>
      </c>
    </row>
    <row r="48" customFormat="false" ht="15" hidden="false" customHeight="true" outlineLevel="0" collapsed="false">
      <c r="A48" s="58" t="s">
        <v>472</v>
      </c>
      <c r="B48" s="12" t="n">
        <v>2</v>
      </c>
      <c r="C48" s="10" t="s">
        <v>473</v>
      </c>
      <c r="D48" s="10" t="s">
        <v>474</v>
      </c>
    </row>
    <row r="49" customFormat="false" ht="15" hidden="false" customHeight="true" outlineLevel="0" collapsed="false">
      <c r="A49" s="57" t="s">
        <v>475</v>
      </c>
      <c r="B49" s="9" t="n">
        <v>440</v>
      </c>
      <c r="C49" s="6" t="s">
        <v>458</v>
      </c>
      <c r="D49" s="6" t="s">
        <v>476</v>
      </c>
    </row>
    <row r="50" customFormat="false" ht="15" hidden="false" customHeight="true" outlineLevel="0" collapsed="false">
      <c r="A50" s="60" t="s">
        <v>477</v>
      </c>
      <c r="B50" s="42" t="n">
        <v>475</v>
      </c>
      <c r="C50" s="41" t="s">
        <v>458</v>
      </c>
      <c r="D50" s="41" t="s">
        <v>478</v>
      </c>
    </row>
    <row r="51" customFormat="false" ht="15" hidden="false" customHeight="true" outlineLevel="0" collapsed="false">
      <c r="A51" s="57" t="s">
        <v>479</v>
      </c>
      <c r="B51" s="9" t="n">
        <v>228</v>
      </c>
      <c r="C51" s="6" t="s">
        <v>458</v>
      </c>
      <c r="D51" s="6" t="s">
        <v>480</v>
      </c>
    </row>
    <row r="52" customFormat="false" ht="15" hidden="false" customHeight="true" outlineLevel="0" collapsed="false">
      <c r="A52" s="58" t="s">
        <v>481</v>
      </c>
      <c r="B52" s="12" t="n">
        <v>11</v>
      </c>
      <c r="C52" s="10" t="s">
        <v>406</v>
      </c>
      <c r="D52" s="10" t="s">
        <v>482</v>
      </c>
    </row>
    <row r="53" customFormat="false" ht="15" hidden="false" customHeight="true" outlineLevel="0" collapsed="false">
      <c r="A53" s="60" t="s">
        <v>483</v>
      </c>
      <c r="B53" s="42" t="n">
        <v>10</v>
      </c>
      <c r="C53" s="41" t="s">
        <v>406</v>
      </c>
      <c r="D53" s="41" t="s">
        <v>484</v>
      </c>
    </row>
    <row r="54" customFormat="false" ht="15" hidden="false" customHeight="true" outlineLevel="0" collapsed="false">
      <c r="A54" s="58" t="s">
        <v>485</v>
      </c>
      <c r="B54" s="12" t="n">
        <v>21</v>
      </c>
      <c r="C54" s="10" t="s">
        <v>406</v>
      </c>
      <c r="D54" s="10" t="s">
        <v>486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2026-03-12T17:09:52Z</dcterms:created>
  <dc:creator>openpyxl</dc:creator>
  <dc:description/>
  <dc:language>en-US</dc:language>
  <cp:lastModifiedBy/>
  <dcterms:modified xsi:type="dcterms:W3CDTF">2026-03-12T17:10:32Z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