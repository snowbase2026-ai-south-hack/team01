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" sheetId="1" state="visible" r:id="rId3"/>
    <sheet name="Юнит-экономика" sheetId="2" state="visible" r:id="rId4"/>
    <sheet name="CAPEX" sheetId="3" state="visible" r:id="rId5"/>
    <sheet name="Операционные KPI" sheetId="4" state="visible" r:id="rId6"/>
    <sheet name="Рынок" sheetId="5" state="visible" r:id="rId7"/>
    <sheet name="Ключи_ассистента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<sst xmlns="http://schemas.openxmlformats.org/spreadsheetml/2006/main" count="492" uniqueCount="388">
  <si>
    <t xml:space="preserve">BigTechGroup — P&amp;L верхнего уровня</t>
  </si>
  <si>
    <t xml:space="preserve">Топ-5 федеральный продовольственный ритейлер | Синтетические данные | Март 2026</t>
  </si>
  <si>
    <t xml:space="preserve">Показатель</t>
  </si>
  <si>
    <t xml:space="preserve">2022 факт</t>
  </si>
  <si>
    <t xml:space="preserve">2023 факт</t>
  </si>
  <si>
    <t xml:space="preserve">2024 факт</t>
  </si>
  <si>
    <t xml:space="preserve">2025 план</t>
  </si>
  <si>
    <t xml:space="preserve">Δ 24/23</t>
  </si>
  <si>
    <t xml:space="preserve">CAGR 22–24</t>
  </si>
  <si>
    <t xml:space="preserve">Комментарий</t>
  </si>
  <si>
    <t xml:space="preserve">ВЫРУЧКА</t>
  </si>
  <si>
    <t xml:space="preserve">Общая выручка</t>
  </si>
  <si>
    <t xml:space="preserve">CAGR +11%; прогноз 2025: 138–142 млрд ₽</t>
  </si>
  <si>
    <t xml:space="preserve">  Офлайн</t>
  </si>
  <si>
    <t xml:space="preserve">79% выручки; рост замедляется</t>
  </si>
  <si>
    <t xml:space="preserve">  Онлайн</t>
  </si>
  <si>
    <t xml:space="preserve">+57% г/г 2024; целевая доля 30% к 2027</t>
  </si>
  <si>
    <t xml:space="preserve">  Доля онлайн, %</t>
  </si>
  <si>
    <t xml:space="preserve">Растёт, инфраструктура не успевает</t>
  </si>
  <si>
    <t xml:space="preserve">ВАЛОВАЯ ПРИБЫЛЬ</t>
  </si>
  <si>
    <t xml:space="preserve">Валовая прибыль</t>
  </si>
  <si>
    <t xml:space="preserve">Валовая маржа, %</t>
  </si>
  <si>
    <t xml:space="preserve">Умеренный рост за счёт онлайн-микса</t>
  </si>
  <si>
    <t xml:space="preserve">EBITDA</t>
  </si>
  <si>
    <t xml:space="preserve">EBITDA margin, %</t>
  </si>
  <si>
    <t xml:space="preserve">Отраслевой медиан: 5–7%</t>
  </si>
  <si>
    <t xml:space="preserve">ЧИСТАЯ ПРИБЫЛЬ</t>
  </si>
  <si>
    <t xml:space="preserve">Чистая прибыль</t>
  </si>
  <si>
    <t xml:space="preserve">Под давлением роста OPEX на цифровизацию</t>
  </si>
  <si>
    <t xml:space="preserve">Чистая маржа, %</t>
  </si>
  <si>
    <t xml:space="preserve">СТРУКТУРА OPEX (% от выручки)</t>
  </si>
  <si>
    <t xml:space="preserve">Логистика и склад, %</t>
  </si>
  <si>
    <t xml:space="preserve">Снижается благодаря автоматизации РЦ</t>
  </si>
  <si>
    <t xml:space="preserve">Персонал, %</t>
  </si>
  <si>
    <t xml:space="preserve">Аренда, %</t>
  </si>
  <si>
    <t xml:space="preserve">IT и цифровые сервисы, %</t>
  </si>
  <si>
    <t xml:space="preserve">Растёт — ML/AI инфраструктура</t>
  </si>
  <si>
    <t xml:space="preserve">Маркетинг, %</t>
  </si>
  <si>
    <t xml:space="preserve">Рост из-за онлайн-продвижения</t>
  </si>
  <si>
    <t xml:space="preserve">Прочие, %</t>
  </si>
  <si>
    <t xml:space="preserve">BigTechGroup — Юнит-экономика</t>
  </si>
  <si>
    <t xml:space="preserve">Транзакционные метрики | Клиентские метрики | Товарные метрики</t>
  </si>
  <si>
    <t xml:space="preserve">2.1 Транзакционные метрики</t>
  </si>
  <si>
    <t xml:space="preserve">Метрика</t>
  </si>
  <si>
    <t xml:space="preserve">Офлайн</t>
  </si>
  <si>
    <t xml:space="preserve">Онлайн (текущий)</t>
  </si>
  <si>
    <t xml:space="preserve">Онлайн (пилот Q1 2025)</t>
  </si>
  <si>
    <t xml:space="preserve">Δ vs пилот</t>
  </si>
  <si>
    <t xml:space="preserve">Статус</t>
  </si>
  <si>
    <t xml:space="preserve">Средний чек (AOV), ₽</t>
  </si>
  <si>
    <t xml:space="preserve">OK</t>
  </si>
  <si>
    <t xml:space="preserve">Онлайн стабильно выше — больше SKU в корзине</t>
  </si>
  <si>
    <t xml:space="preserve">Частота покупок, раз/мес</t>
  </si>
  <si>
    <t xml:space="preserve">⚠</t>
  </si>
  <si>
    <t xml:space="preserve">Снижается: деградация вовлечённости</t>
  </si>
  <si>
    <t xml:space="preserve">Конверсия посещение→покупка</t>
  </si>
  <si>
    <t xml:space="preserve">Снижается; принципиально разные воронки</t>
  </si>
  <si>
    <t xml:space="preserve">Конверсия рекомендация→покупка</t>
  </si>
  <si>
    <t xml:space="preserve">✗</t>
  </si>
  <si>
    <t xml:space="preserve">−23% vs пилот: прямой эффект деградации модели</t>
  </si>
  <si>
    <t xml:space="preserve">Доля персонализир. продаж</t>
  </si>
  <si>
    <t xml:space="preserve">Падает; модель хуже попадает в интерес</t>
  </si>
  <si>
    <t xml:space="preserve">Возврат товара, % заказов</t>
  </si>
  <si>
    <t xml:space="preserve">Рост возвратов → нагрузка на операционку</t>
  </si>
  <si>
    <t xml:space="preserve">Отмена заказа до доставки, %</t>
  </si>
  <si>
    <t xml:space="preserve">Растёт при ухудшении SLA</t>
  </si>
  <si>
    <t xml:space="preserve">2.2 Клиентские метрики (онлайн)</t>
  </si>
  <si>
    <t xml:space="preserve">Значение</t>
  </si>
  <si>
    <t xml:space="preserve">Единица</t>
  </si>
  <si>
    <t xml:space="preserve">Без персонализации</t>
  </si>
  <si>
    <t xml:space="preserve">С персонализацией</t>
  </si>
  <si>
    <t xml:space="preserve">Uplift</t>
  </si>
  <si>
    <t xml:space="preserve">Активных онлайн-клиентов LTM</t>
  </si>
  <si>
    <t xml:space="preserve">чел.</t>
  </si>
  <si>
    <t xml:space="preserve">Уникальных покупателей за 12 мес</t>
  </si>
  <si>
    <t xml:space="preserve">MAU (app + сайт)</t>
  </si>
  <si>
    <t xml:space="preserve">Включает просмотр без покупки</t>
  </si>
  <si>
    <t xml:space="preserve">Охват персонализацией (пилот)</t>
  </si>
  <si>
    <t xml:space="preserve">%</t>
  </si>
  <si>
    <t xml:space="preserve">При масштабировании → 100%</t>
  </si>
  <si>
    <t xml:space="preserve">CAC онлайн (привлечение)</t>
  </si>
  <si>
    <t xml:space="preserve">₽/клиент</t>
  </si>
  <si>
    <t xml:space="preserve">Маркетинг + промо на первый заказ</t>
  </si>
  <si>
    <t xml:space="preserve">LTV 12 мес</t>
  </si>
  <si>
    <t xml:space="preserve">₽</t>
  </si>
  <si>
    <t xml:space="preserve">+20% с персонализацией (данные пилота)</t>
  </si>
  <si>
    <t xml:space="preserve">Средний чек</t>
  </si>
  <si>
    <t xml:space="preserve">Частота покупок/мес</t>
  </si>
  <si>
    <t xml:space="preserve">раз</t>
  </si>
  <si>
    <t xml:space="preserve">Отток (churn) в месяц</t>
  </si>
  <si>
    <t xml:space="preserve">Снижается при персонализации</t>
  </si>
  <si>
    <t xml:space="preserve">NPS онлайн-канала</t>
  </si>
  <si>
    <t xml:space="preserve">пунктов</t>
  </si>
  <si>
    <t xml:space="preserve">Конкурент A: 58. Чувствителен к SLA</t>
  </si>
  <si>
    <t xml:space="preserve">2.3 Товарные метрики</t>
  </si>
  <si>
    <t xml:space="preserve">KPI</t>
  </si>
  <si>
    <t xml:space="preserve">Норматив</t>
  </si>
  <si>
    <t xml:space="preserve">Факт Q1 2026</t>
  </si>
  <si>
    <t xml:space="preserve">Прогноз +20% заказов</t>
  </si>
  <si>
    <t xml:space="preserve">Отклонение</t>
  </si>
  <si>
    <t xml:space="preserve">Стоимость отклонения</t>
  </si>
  <si>
    <t xml:space="preserve">Число активных SKU</t>
  </si>
  <si>
    <t xml:space="preserve">—</t>
  </si>
  <si>
    <t xml:space="preserve">On-shelf availability (офлайн)</t>
  </si>
  <si>
    <t xml:space="preserve">Out-of-stock rate (онлайн)</t>
  </si>
  <si>
    <t xml:space="preserve">~150 млн ₽/год за каждый +1 пп OOS</t>
  </si>
  <si>
    <t xml:space="preserve">Уровень списаний</t>
  </si>
  <si>
    <t xml:space="preserve">~185 млн ₽/год сверх нормы</t>
  </si>
  <si>
    <t xml:space="preserve">Оборачиваемость запасов, дни</t>
  </si>
  <si>
    <t xml:space="preserve">Норматив 30–35 дней</t>
  </si>
  <si>
    <t xml:space="preserve">Доля SKU под влиянием модели</t>
  </si>
  <si>
    <t xml:space="preserve">Алгоритм влияет на 22% ассортимента</t>
  </si>
  <si>
    <t xml:space="preserve">BigTechGroup — CAPEX-план</t>
  </si>
  <si>
    <t xml:space="preserve">Общий CAPEX по направлениям | Бюджет проекта AI-персонализации | Сценарный анализ</t>
  </si>
  <si>
    <t xml:space="preserve">Статья</t>
  </si>
  <si>
    <t xml:space="preserve">2026 план</t>
  </si>
  <si>
    <t xml:space="preserve">CAGR 22–26</t>
  </si>
  <si>
    <t xml:space="preserve">ОБЩИЙ CAPEX, млрд ₽</t>
  </si>
  <si>
    <t xml:space="preserve">ИТОГО CAPEX</t>
  </si>
  <si>
    <t xml:space="preserve">~3.5% от выручки ежегодно</t>
  </si>
  <si>
    <t xml:space="preserve">  Торговые площади (новые + реконцепция)</t>
  </si>
  <si>
    <t xml:space="preserve">Замедление: фокус смещается на онлайн</t>
  </si>
  <si>
    <t xml:space="preserve">  Склады и РЦ</t>
  </si>
  <si>
    <t xml:space="preserve">Приоритет: расширение онлайн-РЦ</t>
  </si>
  <si>
    <t xml:space="preserve">  IT инфраструктура (серверы, сети)</t>
  </si>
  <si>
    <t xml:space="preserve">Рост из-за ML/AI нагрузки</t>
  </si>
  <si>
    <t xml:space="preserve">    из них ML/AI системы</t>
  </si>
  <si>
    <t xml:space="preserve">CAGR +50%; стратегический приоритет</t>
  </si>
  <si>
    <t xml:space="preserve">  ERP и корп. системы</t>
  </si>
  <si>
    <t xml:space="preserve">  Цифровые продукты (app, сайт)</t>
  </si>
  <si>
    <t xml:space="preserve">  Оборудование торговых залов</t>
  </si>
  <si>
    <t xml:space="preserve">  Прочее</t>
  </si>
  <si>
    <t xml:space="preserve">БЮДЖЕТ ПРОЕКТА: МАСШТАБИРОВАНИЕ AI-ПЕРСОНАЛИЗАЦИИ</t>
  </si>
  <si>
    <t xml:space="preserve">Статья бюджета</t>
  </si>
  <si>
    <t xml:space="preserve">Сумма, млн ₽</t>
  </si>
  <si>
    <t xml:space="preserve">% бюджета</t>
  </si>
  <si>
    <t xml:space="preserve">При CAPEX −30%</t>
  </si>
  <si>
    <t xml:space="preserve">Риск при сокращении</t>
  </si>
  <si>
    <t xml:space="preserve">ИТОГО бюджет проекта</t>
  </si>
  <si>
    <t xml:space="preserve">Остаток 238 млн ₽</t>
  </si>
  <si>
    <t xml:space="preserve">Инфраструктура (серверы / облако)</t>
  </si>
  <si>
    <t xml:space="preserve">✗ Главная жертва сокращения — масштаб невозможен</t>
  </si>
  <si>
    <t xml:space="preserve">Переобучение модели + MLOps</t>
  </si>
  <si>
    <t xml:space="preserve">✗ Без переобучения: +40% ошибочных рекомендаций</t>
  </si>
  <si>
    <t xml:space="preserve">Интеграция + QA</t>
  </si>
  <si>
    <t xml:space="preserve">⚠ Можно сжать, но растёт технический долг</t>
  </si>
  <si>
    <t xml:space="preserve">Резерв</t>
  </si>
  <si>
    <t xml:space="preserve">Исчезает первым при сокращении</t>
  </si>
  <si>
    <t xml:space="preserve">ФИНАНСОВАЯ МОДЕЛЬ ПРОЕКТА</t>
  </si>
  <si>
    <t xml:space="preserve">Параметр</t>
  </si>
  <si>
    <t xml:space="preserve">Базовый сценарий</t>
  </si>
  <si>
    <t xml:space="preserve">CAPEX −30%</t>
  </si>
  <si>
    <t xml:space="preserve">Деградация модели +40%</t>
  </si>
  <si>
    <t xml:space="preserve">Бюджет проекта, млн ₽</t>
  </si>
  <si>
    <t xml:space="preserve">При деградации бюджет тот же, но эффект падает</t>
  </si>
  <si>
    <t xml:space="preserve">Доп. выручка год 1, млн ₽</t>
  </si>
  <si>
    <t xml:space="preserve">Доп. выручка год 2, млн ₽</t>
  </si>
  <si>
    <t xml:space="preserve">Доп. выручка год 3, млн ₽</t>
  </si>
  <si>
    <t xml:space="preserve">Payback, месяцев</t>
  </si>
  <si>
    <t xml:space="preserve">Порог приемлемости для CFO: ≤18 мес</t>
  </si>
  <si>
    <t xml:space="preserve">ROI 24 мес</t>
  </si>
  <si>
    <t xml:space="preserve">EBITDA impact год 1, млн ₽</t>
  </si>
  <si>
    <t xml:space="preserve">NPV (3 года, ставка 18%), млн ₽</t>
  </si>
  <si>
    <t xml:space="preserve">При CAPEX −30% NPV сокращается на 56%</t>
  </si>
  <si>
    <t xml:space="preserve">BigTechGroup — Операционные KPI</t>
  </si>
  <si>
    <t xml:space="preserve">Логистика | Распределительные центры | Товарная доступность | Финансовые потери</t>
  </si>
  <si>
    <t xml:space="preserve">4.1 ЛОГИСТИКА И ДОСТАВКА</t>
  </si>
  <si>
    <t xml:space="preserve">SLA поставок (% в срок)</t>
  </si>
  <si>
    <t xml:space="preserve">≥ 95.0%</t>
  </si>
  <si>
    <t xml:space="preserve">~90 млн ₽/год за каждый −1 пп SLA</t>
  </si>
  <si>
    <t xml:space="preserve">SLA next-day delivery</t>
  </si>
  <si>
    <t xml:space="preserve">≥ 88.0%</t>
  </si>
  <si>
    <t xml:space="preserve">NPS −3 пункта за каждые −5 пп SLA</t>
  </si>
  <si>
    <t xml:space="preserve">Среднее время доставки, ч</t>
  </si>
  <si>
    <t xml:space="preserve">&lt; 24 ч</t>
  </si>
  <si>
    <t xml:space="preserve">Время обработки в РЦ, ч</t>
  </si>
  <si>
    <t xml:space="preserve">&lt; 2 ч</t>
  </si>
  <si>
    <t xml:space="preserve">SLA уже нарушается сейчас</t>
  </si>
  <si>
    <t xml:space="preserve">Чувствительность SLA к объёму</t>
  </si>
  <si>
    <t xml:space="preserve">−0.14 пп / +1% заказов</t>
  </si>
  <si>
    <t xml:space="preserve">info</t>
  </si>
  <si>
    <t xml:space="preserve">Линейная зависимость по истории 2023–2025</t>
  </si>
  <si>
    <t xml:space="preserve">4.2 РАСПРЕДЕЛИТЕЛЬНЫЕ ЦЕНТРЫ</t>
  </si>
  <si>
    <t xml:space="preserve">Прогноз +20%</t>
  </si>
  <si>
    <t xml:space="preserve">Кол-во онлайн-РЦ</t>
  </si>
  <si>
    <t xml:space="preserve">8 → 9 (Q4 2026)</t>
  </si>
  <si>
    <t xml:space="preserve">9-й РЦ вводится слишком поздно</t>
  </si>
  <si>
    <t xml:space="preserve">Загрузка РЦ, % от максимума</t>
  </si>
  <si>
    <t xml:space="preserve">&lt; 85%</t>
  </si>
  <si>
    <t xml:space="preserve">Пики &gt;100% уже сейчас. При +20% — коллапс</t>
  </si>
  <si>
    <t xml:space="preserve">Уровень автоматизации сборки</t>
  </si>
  <si>
    <t xml:space="preserve">Инвестиции в автоматизацию идут параллельно</t>
  </si>
  <si>
    <t xml:space="preserve">Пиковая нагрузка vs средняя, пп</t>
  </si>
  <si>
    <t xml:space="preserve">+22 пп</t>
  </si>
  <si>
    <t xml:space="preserve">Пики умножаются на больший базис</t>
  </si>
  <si>
    <t xml:space="preserve">Ср. число сборщиков/смена (РЦ)</t>
  </si>
  <si>
    <t xml:space="preserve">Требуется +18–22% персонала при росте</t>
  </si>
  <si>
    <t xml:space="preserve">4.3 ФИНАНСОВЫЕ ПОТЕРИ ОТ ОПЕРАЦИОННЫХ ОТКЛОНЕНИЙ, млн ₽/год</t>
  </si>
  <si>
    <t xml:space="preserve">Источник потерь</t>
  </si>
  <si>
    <t xml:space="preserve">Текущие потери</t>
  </si>
  <si>
    <t xml:space="preserve">При +20% заказов</t>
  </si>
  <si>
    <t xml:space="preserve">При +20% + деградация модели</t>
  </si>
  <si>
    <t xml:space="preserve">Методология расчёта</t>
  </si>
  <si>
    <t xml:space="preserve">SLA ниже 95% (недополученные продажи)</t>
  </si>
  <si>
    <t xml:space="preserve">90 млн ₽ × отклонение в пп</t>
  </si>
  <si>
    <t xml:space="preserve">Out-of-stock онлайн</t>
  </si>
  <si>
    <t xml:space="preserve">150 млн ₽ × OOS rate в пп</t>
  </si>
  <si>
    <t xml:space="preserve">Списания сверх нормы</t>
  </si>
  <si>
    <t xml:space="preserve">% выручки сверх норматива 1.2%</t>
  </si>
  <si>
    <t xml:space="preserve">Отмены и возвраты из-за SLA</t>
  </si>
  <si>
    <t xml:space="preserve">% отмен × AOV × объём заказов</t>
  </si>
  <si>
    <t xml:space="preserve">Деградация рекомендаций (−LTV)</t>
  </si>
  <si>
    <t xml:space="preserve">−23% конверсии × 6.4 млн клиентов</t>
  </si>
  <si>
    <t xml:space="preserve">ИТОГО потери</t>
  </si>
  <si>
    <t xml:space="preserve">⚠ При +20% заказов без доп. инфраструктуры: потери ~1.5 млрд ₽/год перекрывают прогнозную доп. выручку от персонализации (480 млн ₽/год).</t>
  </si>
  <si>
    <t xml:space="preserve">BigTechGroup — Рыночный контекст и конкуренты</t>
  </si>
  <si>
    <t xml:space="preserve">Март 2026</t>
  </si>
  <si>
    <t xml:space="preserve">BigTechGroup</t>
  </si>
  <si>
    <t xml:space="preserve">Конкурент A (лидер)</t>
  </si>
  <si>
    <t xml:space="preserve">Конкурент B</t>
  </si>
  <si>
    <t xml:space="preserve">Доля рынка (онлайн + офлайн)</t>
  </si>
  <si>
    <t xml:space="preserve">8.3%</t>
  </si>
  <si>
    <t xml:space="preserve">11.2%</t>
  </si>
  <si>
    <t xml:space="preserve">6.7%</t>
  </si>
  <si>
    <t xml:space="preserve">Разрыв с лидером растёт: +0.7 пп за 2024</t>
  </si>
  <si>
    <t xml:space="preserve">Темп роста доли рынка г/г</t>
  </si>
  <si>
    <t xml:space="preserve">+0.4 пп</t>
  </si>
  <si>
    <t xml:space="preserve">+1.1 пп</t>
  </si>
  <si>
    <t xml:space="preserve">+0.3 пп</t>
  </si>
  <si>
    <t xml:space="preserve">BigTechGroup теряет темп роста</t>
  </si>
  <si>
    <t xml:space="preserve">Онлайн доля в выручке</t>
  </si>
  <si>
    <t xml:space="preserve">20.7%</t>
  </si>
  <si>
    <t xml:space="preserve">34%</t>
  </si>
  <si>
    <t xml:space="preserve">18%</t>
  </si>
  <si>
    <t xml:space="preserve">Конкурент A значительно опережает</t>
  </si>
  <si>
    <t xml:space="preserve">Рост онлайн-выручки г/г</t>
  </si>
  <si>
    <t xml:space="preserve">+57%</t>
  </si>
  <si>
    <t xml:space="preserve">+52%</t>
  </si>
  <si>
    <t xml:space="preserve">+28%</t>
  </si>
  <si>
    <t xml:space="preserve">BTG растёт быстро, но база меньше</t>
  </si>
  <si>
    <t xml:space="preserve">Конверсия онлайн</t>
  </si>
  <si>
    <t xml:space="preserve">3.8%</t>
  </si>
  <si>
    <t xml:space="preserve">5.4%</t>
  </si>
  <si>
    <t xml:space="preserve">3.2%</t>
  </si>
  <si>
    <t xml:space="preserve">Разрыв 1.6 пп = ~248 млн ₽/год потерянной выручки</t>
  </si>
  <si>
    <t xml:space="preserve">Статус AI-персонализации</t>
  </si>
  <si>
    <t xml:space="preserve">Пилот 2 г., деградация</t>
  </si>
  <si>
    <t xml:space="preserve">Фед. запуск Q4 2025</t>
  </si>
  <si>
    <t xml:space="preserve">Пилот Q3 2026</t>
  </si>
  <si>
    <t xml:space="preserve">Конкурент A уже на всей базе</t>
  </si>
  <si>
    <t xml:space="preserve">Uplift конверсии от персонализации</t>
  </si>
  <si>
    <t xml:space="preserve">+2.8 пп</t>
  </si>
  <si>
    <t xml:space="preserve">н/д</t>
  </si>
  <si>
    <t xml:space="preserve">Оценка независимых аналитиков</t>
  </si>
  <si>
    <t xml:space="preserve">41</t>
  </si>
  <si>
    <t xml:space="preserve">58</t>
  </si>
  <si>
    <t xml:space="preserve">37</t>
  </si>
  <si>
    <t xml:space="preserve">BTG отстаёт: чувствителен к SLA</t>
  </si>
  <si>
    <t xml:space="preserve">Рыночное окно (оценка)</t>
  </si>
  <si>
    <t xml:space="preserve">6–9 мес</t>
  </si>
  <si>
    <t xml:space="preserve">После — лидер закрепит преимущество</t>
  </si>
  <si>
    <t xml:space="preserve">CAPEX на AI/ML, млрд ₽ (2024)</t>
  </si>
  <si>
    <t xml:space="preserve">0.22</t>
  </si>
  <si>
    <t xml:space="preserve">0.48</t>
  </si>
  <si>
    <t xml:space="preserve">0.09</t>
  </si>
  <si>
    <t xml:space="preserve">Конкурент A инвестирует вдвое больше</t>
  </si>
  <si>
    <t xml:space="preserve">Ключевые метрики для AI-ассистента</t>
  </si>
  <si>
    <t xml:space="preserve">Все числа в одном месте — для RAG / системного промпта</t>
  </si>
  <si>
    <t xml:space="preserve">Ключ (key)</t>
  </si>
  <si>
    <t xml:space="preserve">Описание</t>
  </si>
  <si>
    <t xml:space="preserve">revenue_2024_bln_rub</t>
  </si>
  <si>
    <t xml:space="preserve">млрд ₽</t>
  </si>
  <si>
    <t xml:space="preserve">Общая выручка 2024</t>
  </si>
  <si>
    <t xml:space="preserve">revenue_online_2024_bln_rub</t>
  </si>
  <si>
    <t xml:space="preserve">Онлайн-выручка 2024</t>
  </si>
  <si>
    <t xml:space="preserve">online_share_2024</t>
  </si>
  <si>
    <t xml:space="preserve">Доля онлайна в выручке 2024</t>
  </si>
  <si>
    <t xml:space="preserve">ebitda_2024_bln_rub</t>
  </si>
  <si>
    <t xml:space="preserve">EBITDA 2024</t>
  </si>
  <si>
    <t xml:space="preserve">ebitda_margin_2024</t>
  </si>
  <si>
    <t xml:space="preserve">EBITDA margin 2024</t>
  </si>
  <si>
    <t xml:space="preserve">net_profit_2024_bln_rub</t>
  </si>
  <si>
    <t xml:space="preserve">Чистая прибыль 2024</t>
  </si>
  <si>
    <t xml:space="preserve">online_revenue_cagr_22_24</t>
  </si>
  <si>
    <t xml:space="preserve">CAGR онлайн-выручки 2022–2024</t>
  </si>
  <si>
    <t xml:space="preserve">aov_online_rub</t>
  </si>
  <si>
    <t xml:space="preserve">Средний чек онлайн (Q1 2026)</t>
  </si>
  <si>
    <t xml:space="preserve">aov_offline_rub</t>
  </si>
  <si>
    <t xml:space="preserve">Средний чек офлайн</t>
  </si>
  <si>
    <t xml:space="preserve">rec_conversion_current</t>
  </si>
  <si>
    <t xml:space="preserve">Конверсия рекомендация→покупка (текущая)</t>
  </si>
  <si>
    <t xml:space="preserve">rec_conversion_pilot</t>
  </si>
  <si>
    <t xml:space="preserve">Конверсия рекомендация→покупка (пилот Q1 2025)</t>
  </si>
  <si>
    <t xml:space="preserve">rec_conversion_degradation_pct</t>
  </si>
  <si>
    <t xml:space="preserve">Деградация конверсии vs пилот (−23%)</t>
  </si>
  <si>
    <t xml:space="preserve">ltv_12m_no_personalization_rub</t>
  </si>
  <si>
    <t xml:space="preserve">LTV 12 мес без персонализации</t>
  </si>
  <si>
    <t xml:space="preserve">ltv_12m_with_personalization_rub</t>
  </si>
  <si>
    <t xml:space="preserve">LTV 12 мес с персонализацией (+20%)</t>
  </si>
  <si>
    <t xml:space="preserve">cac_online_rub</t>
  </si>
  <si>
    <t xml:space="preserve">CAC онлайн</t>
  </si>
  <si>
    <t xml:space="preserve">active_online_clients_lm</t>
  </si>
  <si>
    <t xml:space="preserve">personalization_coverage_pilot</t>
  </si>
  <si>
    <t xml:space="preserve">churn_monthly</t>
  </si>
  <si>
    <t xml:space="preserve">Ежемесячный отток онлайн</t>
  </si>
  <si>
    <t xml:space="preserve">nps_online</t>
  </si>
  <si>
    <t xml:space="preserve">project_budget_mln_rub</t>
  </si>
  <si>
    <t xml:space="preserve">млн ₽</t>
  </si>
  <si>
    <t xml:space="preserve">Бюджет проекта масштабирования</t>
  </si>
  <si>
    <t xml:space="preserve">project_budget_cut30_mln_rub</t>
  </si>
  <si>
    <t xml:space="preserve">Бюджет при CAPEX −30%</t>
  </si>
  <si>
    <t xml:space="preserve">project_payback_months_base</t>
  </si>
  <si>
    <t xml:space="preserve">мес.</t>
  </si>
  <si>
    <t xml:space="preserve">Payback базовый сценарий</t>
  </si>
  <si>
    <t xml:space="preserve">project_payback_months_cut30</t>
  </si>
  <si>
    <t xml:space="preserve">Payback при CAPEX −30%</t>
  </si>
  <si>
    <t xml:space="preserve">project_payback_months_degradation</t>
  </si>
  <si>
    <t xml:space="preserve">Payback при деградации модели</t>
  </si>
  <si>
    <t xml:space="preserve">incremental_revenue_y1_mln_rub</t>
  </si>
  <si>
    <t xml:space="preserve">Доп. выручка год 1 (базовый)</t>
  </si>
  <si>
    <t xml:space="preserve">incremental_revenue_y1_cut30_mln_rub</t>
  </si>
  <si>
    <t xml:space="preserve">Доп. выручка год 1 при CAPEX −30%</t>
  </si>
  <si>
    <t xml:space="preserve">incremental_revenue_y1_degradation_mln_rub</t>
  </si>
  <si>
    <t xml:space="preserve">Доп. выручка год 1 при деградации</t>
  </si>
  <si>
    <t xml:space="preserve">roi_24m_base</t>
  </si>
  <si>
    <t xml:space="preserve">x</t>
  </si>
  <si>
    <t xml:space="preserve">ROI 24 мес базовый</t>
  </si>
  <si>
    <t xml:space="preserve">roi_24m_cut30</t>
  </si>
  <si>
    <t xml:space="preserve">ROI 24 мес при CAPEX −30%</t>
  </si>
  <si>
    <t xml:space="preserve">sla_deliveries_norm</t>
  </si>
  <si>
    <t xml:space="preserve">Норматив SLA поставок</t>
  </si>
  <si>
    <t xml:space="preserve">sla_deliveries_fact_q1_2026</t>
  </si>
  <si>
    <t xml:space="preserve">Факт SLA поставок Q1 2026</t>
  </si>
  <si>
    <t xml:space="preserve">sla_deliveries_forecast_plus20</t>
  </si>
  <si>
    <t xml:space="preserve">Прогноз SLA при +20% заказов</t>
  </si>
  <si>
    <t xml:space="preserve">sla_cost_per_pct_point_mln_rub</t>
  </si>
  <si>
    <t xml:space="preserve">млн ₽/год</t>
  </si>
  <si>
    <t xml:space="preserve">Стоимость каждого −1 пп SLA</t>
  </si>
  <si>
    <t xml:space="preserve">oos_rate_norm</t>
  </si>
  <si>
    <t xml:space="preserve">Норматив OOS онлайн</t>
  </si>
  <si>
    <t xml:space="preserve">oos_rate_fact_q1_2026</t>
  </si>
  <si>
    <t xml:space="preserve">Факт OOS онлайн Q1 2026</t>
  </si>
  <si>
    <t xml:space="preserve">oos_rate_forecast_plus20</t>
  </si>
  <si>
    <t xml:space="preserve">Прогноз OOS при +20% заказов</t>
  </si>
  <si>
    <t xml:space="preserve">oos_cost_per_pct_point_mln_rub</t>
  </si>
  <si>
    <t xml:space="preserve">Стоимость каждого +1 пп OOS</t>
  </si>
  <si>
    <t xml:space="preserve">rc_utilization_fact</t>
  </si>
  <si>
    <t xml:space="preserve">Загрузка РЦ факт Q1 2026</t>
  </si>
  <si>
    <t xml:space="preserve">rc_utilization_forecast_plus20</t>
  </si>
  <si>
    <t xml:space="preserve">Загрузка РЦ прогноз +20% заказов</t>
  </si>
  <si>
    <t xml:space="preserve">writeoffs_norm</t>
  </si>
  <si>
    <t xml:space="preserve">Норматив списаний (% выручки)</t>
  </si>
  <si>
    <t xml:space="preserve">writeoffs_fact</t>
  </si>
  <si>
    <t xml:space="preserve">Факт списаний Q1 2026</t>
  </si>
  <si>
    <t xml:space="preserve">operational_losses_current_mln_rub</t>
  </si>
  <si>
    <t xml:space="preserve">Текущие операционные потери</t>
  </si>
  <si>
    <t xml:space="preserve">operational_losses_plus20_mln_rub</t>
  </si>
  <si>
    <t xml:space="preserve">Потери при +20% заказов</t>
  </si>
  <si>
    <t xml:space="preserve">model_precision_pilot</t>
  </si>
  <si>
    <t xml:space="preserve">Precision@10 на пилоте</t>
  </si>
  <si>
    <t xml:space="preserve">model_precision_current</t>
  </si>
  <si>
    <t xml:space="preserve">Precision@10 текущее (ниже порога 0.35)</t>
  </si>
  <si>
    <t xml:space="preserve">model_error_rate_current</t>
  </si>
  <si>
    <t xml:space="preserve">Доля ошибочных рекомендаций</t>
  </si>
  <si>
    <t xml:space="preserve">model_error_rate_scale_no_retrain</t>
  </si>
  <si>
    <t xml:space="preserve">Доля ошибок при масштабировании без переобучения</t>
  </si>
  <si>
    <t xml:space="preserve">model_degradation_error_increase</t>
  </si>
  <si>
    <t xml:space="preserve">Рост ошибок без переобучения (+40% от ML-команды)</t>
  </si>
  <si>
    <t xml:space="preserve">model_retraining_cost_mln_rub</t>
  </si>
  <si>
    <t xml:space="preserve">млн ₽/цикл</t>
  </si>
  <si>
    <t xml:space="preserve">Стоимость одного переобучения</t>
  </si>
  <si>
    <t xml:space="preserve">market_share_btg</t>
  </si>
  <si>
    <t xml:space="preserve">Доля рынка BigTechGroup</t>
  </si>
  <si>
    <t xml:space="preserve">market_share_competitor_a</t>
  </si>
  <si>
    <t xml:space="preserve">Доля рынка Конкурент A (лидер)</t>
  </si>
  <si>
    <t xml:space="preserve">competitor_a_ai_launch</t>
  </si>
  <si>
    <t xml:space="preserve">Q4 2025</t>
  </si>
  <si>
    <t xml:space="preserve">Дата фед. запуска AI-персонализации у Конкурент A</t>
  </si>
  <si>
    <t xml:space="preserve">competitor_a_conversion_uplift_pp</t>
  </si>
  <si>
    <t xml:space="preserve">пп</t>
  </si>
  <si>
    <t xml:space="preserve">Uplift конверсии у Конкурент A от персонализации</t>
  </si>
  <si>
    <t xml:space="preserve">market_window_months</t>
  </si>
  <si>
    <t xml:space="preserve">6–9</t>
  </si>
  <si>
    <t xml:space="preserve">Оценка рыночного окна до закрепления лидера</t>
  </si>
  <si>
    <t xml:space="preserve">regulatory_dpo_gap_weeks</t>
  </si>
  <si>
    <t xml:space="preserve">4–6</t>
  </si>
  <si>
    <t xml:space="preserve">нед.</t>
  </si>
  <si>
    <t xml:space="preserve">Срок устранения регуляторного пробела (152-ФЗ)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</si>
</sst>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&quot; млрд ₽&quot;"/>
    <numFmt numFmtId="166" formatCode="0.0%"/>
    <numFmt numFmtId="167" formatCode="0.00%"/>
    <numFmt numFmtId="168" formatCode="#,##0&quot; ₽&quot;"/>
    <numFmt numFmtId="169" formatCode="0.0"/>
    <numFmt numFmtId="170" formatCode="#,##0&quot; чел.&quot;"/>
    <numFmt numFmtId="171" formatCode="#,##0"/>
    <numFmt numFmtId="172" formatCode="#,##0&quot; дн.&quot;"/>
    <numFmt numFmtId="173" formatCode="#,##0&quot; млн ₽&quot;"/>
    <numFmt numFmtId="174" formatCode="#,##0&quot; мес.&quot;"/>
    <numFmt numFmtId="175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5C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B4F8A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1"/>
      <color rgb="FF0000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5C"/>
        <bgColor rgb="FF2C3E50"/>
      </patternFill>
    </fill>
    <fill>
      <patternFill patternType="solid">
        <fgColor rgb="FF2C3E50"/>
        <bgColor rgb="FF1B3A5C"/>
      </patternFill>
    </fill>
    <fill>
      <patternFill patternType="solid">
        <fgColor rgb="FFF4F6F9"/>
        <bgColor rgb="FFE8F5E9"/>
      </patternFill>
    </fill>
    <fill>
      <patternFill patternType="solid">
        <fgColor rgb="FFFFFFFF"/>
        <bgColor rgb="FFF4F6F9"/>
      </patternFill>
    </fill>
    <fill>
      <patternFill patternType="solid">
        <fgColor rgb="FFE8F5E9"/>
        <bgColor rgb="FFF4F6F9"/>
      </patternFill>
    </fill>
    <fill>
      <patternFill patternType="solid">
        <fgColor rgb="FFFFF8E1"/>
        <bgColor rgb="FFFDECEA"/>
      </patternFill>
    </fill>
    <fill>
      <patternFill patternType="solid">
        <fgColor rgb="FFFDECEA"/>
        <bgColor rgb="FFFFF8E1"/>
      </patternFill>
    </fill>
    <fill>
      <patternFill patternType="solid">
        <fgColor rgb="FFD6E4F0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A5C"/>
      <rgbColor rgb="FF339966"/>
      <rgbColor rgb="FF003300"/>
      <rgbColor rgb="FF333300"/>
      <rgbColor rgb="FFC0392B"/>
      <rgbColor rgb="FF993366"/>
      <rgbColor rgb="FF1B4F8A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3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s">
        <v>11</v>
      </c>
      <c r="B6" s="6" t="n">
        <v>87.4</v>
      </c>
      <c r="C6" s="6" t="n">
        <v>102.1</v>
      </c>
      <c r="D6" s="6" t="n">
        <v>119.6</v>
      </c>
      <c r="E6" s="6" t="n">
        <v>138</v>
      </c>
      <c r="F6" s="7" t="n">
        <f aca="false">(D6-C6)/C6</f>
        <v>0.171400587659158</v>
      </c>
      <c r="G6" s="7" t="n">
        <f aca="false">((D6/B6)^(1/2))-1</f>
        <v>0.169795303731203</v>
      </c>
      <c r="H6" s="8" t="s">
        <v>12</v>
      </c>
    </row>
    <row r="7" customFormat="false" ht="15" hidden="false" customHeight="false" outlineLevel="0" collapsed="false">
      <c r="A7" s="9" t="s">
        <v>13</v>
      </c>
      <c r="B7" s="10" t="n">
        <v>76.8</v>
      </c>
      <c r="C7" s="10" t="n">
        <v>86.3</v>
      </c>
      <c r="D7" s="10" t="n">
        <v>94.8</v>
      </c>
      <c r="E7" s="10" t="n">
        <v>105</v>
      </c>
      <c r="F7" s="11" t="n">
        <f aca="false">(D7-C7)/C7</f>
        <v>0.0984936268829664</v>
      </c>
      <c r="G7" s="11" t="n">
        <f aca="false">((D7/B7)^(1/2))-1</f>
        <v>0.111024302164449</v>
      </c>
      <c r="H7" s="12" t="s">
        <v>14</v>
      </c>
    </row>
    <row r="8" customFormat="false" ht="15" hidden="false" customHeight="false" outlineLevel="0" collapsed="false">
      <c r="A8" s="5" t="s">
        <v>15</v>
      </c>
      <c r="B8" s="6" t="n">
        <v>10.6</v>
      </c>
      <c r="C8" s="6" t="n">
        <v>15.8</v>
      </c>
      <c r="D8" s="6" t="n">
        <v>24.8</v>
      </c>
      <c r="E8" s="6" t="n">
        <v>33</v>
      </c>
      <c r="F8" s="7" t="n">
        <f aca="false">(D8-C8)/C8</f>
        <v>0.569620253164557</v>
      </c>
      <c r="G8" s="7" t="n">
        <f aca="false">((D8/B8)^(1/2))-1</f>
        <v>0.52958250562349</v>
      </c>
      <c r="H8" s="8" t="s">
        <v>16</v>
      </c>
    </row>
    <row r="9" customFormat="false" ht="15" hidden="false" customHeight="false" outlineLevel="0" collapsed="false">
      <c r="A9" s="9" t="s">
        <v>17</v>
      </c>
      <c r="B9" s="11" t="n">
        <v>0.121</v>
      </c>
      <c r="C9" s="11" t="n">
        <v>0.155</v>
      </c>
      <c r="D9" s="11" t="n">
        <v>0.207</v>
      </c>
      <c r="E9" s="11" t="n">
        <v>0.239</v>
      </c>
      <c r="F9" s="11" t="n">
        <f aca="false">(D9-C9)/C9</f>
        <v>0.335483870967742</v>
      </c>
      <c r="G9" s="11" t="n">
        <f aca="false">((D9/B9)^(1/2))-1</f>
        <v>0.30795405181256</v>
      </c>
      <c r="H9" s="12" t="s">
        <v>18</v>
      </c>
    </row>
    <row r="10" customFormat="false" ht="15" hidden="false" customHeight="false" outlineLevel="0" collapsed="false">
      <c r="A10" s="4" t="s">
        <v>19</v>
      </c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5" t="s">
        <v>20</v>
      </c>
      <c r="B11" s="6" t="n">
        <v>18.4</v>
      </c>
      <c r="C11" s="6" t="n">
        <v>22.1</v>
      </c>
      <c r="D11" s="6" t="n">
        <v>26.8</v>
      </c>
      <c r="E11" s="6" t="n">
        <v>31.5</v>
      </c>
      <c r="F11" s="7" t="n">
        <f aca="false">(D11-C11)/C11</f>
        <v>0.212669683257919</v>
      </c>
      <c r="G11" s="7" t="n">
        <f aca="false">((D11/B11)^(1/2))-1</f>
        <v>0.206864424502784</v>
      </c>
      <c r="H11" s="8"/>
    </row>
    <row r="12" customFormat="false" ht="15" hidden="false" customHeight="false" outlineLevel="0" collapsed="false">
      <c r="A12" s="9" t="s">
        <v>21</v>
      </c>
      <c r="B12" s="11" t="n">
        <v>0.211</v>
      </c>
      <c r="C12" s="11" t="n">
        <v>0.216</v>
      </c>
      <c r="D12" s="11" t="n">
        <v>0.224</v>
      </c>
      <c r="E12" s="11" t="n">
        <v>0.228</v>
      </c>
      <c r="F12" s="11" t="n">
        <f aca="false">(D12-C12)/C12</f>
        <v>0.0370370370370371</v>
      </c>
      <c r="G12" s="11" t="n">
        <f aca="false">((D12/B12)^(1/2))-1</f>
        <v>0.0303452695128867</v>
      </c>
      <c r="H12" s="12" t="s">
        <v>22</v>
      </c>
    </row>
    <row r="13" customFormat="false" ht="15" hidden="false" customHeight="false" outlineLevel="0" collapsed="false">
      <c r="A13" s="4" t="s">
        <v>23</v>
      </c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13" t="s">
        <v>23</v>
      </c>
      <c r="B14" s="14" t="n">
        <v>4.81</v>
      </c>
      <c r="C14" s="14" t="n">
        <v>5.62</v>
      </c>
      <c r="D14" s="14" t="n">
        <v>7.17</v>
      </c>
      <c r="E14" s="14" t="n">
        <v>8.4</v>
      </c>
      <c r="F14" s="15" t="n">
        <f aca="false">(D14-C14)/C14</f>
        <v>0.275800711743772</v>
      </c>
      <c r="G14" s="15" t="n">
        <f aca="false">((D14/B14)^(1/2))-1</f>
        <v>0.220919526686542</v>
      </c>
      <c r="H14" s="16"/>
    </row>
    <row r="15" customFormat="false" ht="15" hidden="false" customHeight="false" outlineLevel="0" collapsed="false">
      <c r="A15" s="13" t="s">
        <v>24</v>
      </c>
      <c r="B15" s="15" t="n">
        <v>0.055</v>
      </c>
      <c r="C15" s="15" t="n">
        <v>0.055</v>
      </c>
      <c r="D15" s="15" t="n">
        <v>0.06</v>
      </c>
      <c r="E15" s="15" t="n">
        <v>0.061</v>
      </c>
      <c r="F15" s="15" t="n">
        <f aca="false">(D15-C15)/C15</f>
        <v>0.0909090909090909</v>
      </c>
      <c r="G15" s="15" t="n">
        <f aca="false">((D15/B15)^(1/2))-1</f>
        <v>0.044465935734187</v>
      </c>
      <c r="H15" s="16" t="s">
        <v>25</v>
      </c>
    </row>
    <row r="16" customFormat="false" ht="15" hidden="false" customHeight="false" outlineLevel="0" collapsed="false">
      <c r="A16" s="4" t="s">
        <v>26</v>
      </c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5" t="s">
        <v>27</v>
      </c>
      <c r="B17" s="6" t="n">
        <v>1.31</v>
      </c>
      <c r="C17" s="6" t="n">
        <v>1.87</v>
      </c>
      <c r="D17" s="6" t="n">
        <v>2.81</v>
      </c>
      <c r="E17" s="6" t="n">
        <v>3.3</v>
      </c>
      <c r="F17" s="7" t="n">
        <f aca="false">(D17-C17)/C17</f>
        <v>0.502673796791444</v>
      </c>
      <c r="G17" s="7" t="n">
        <f aca="false">((D17/B17)^(1/2))-1</f>
        <v>0.46459488184922</v>
      </c>
      <c r="H17" s="8" t="s">
        <v>28</v>
      </c>
    </row>
    <row r="18" customFormat="false" ht="15" hidden="false" customHeight="false" outlineLevel="0" collapsed="false">
      <c r="A18" s="9" t="s">
        <v>29</v>
      </c>
      <c r="B18" s="11" t="n">
        <v>0.015</v>
      </c>
      <c r="C18" s="11" t="n">
        <v>0.018</v>
      </c>
      <c r="D18" s="11" t="n">
        <v>0.024</v>
      </c>
      <c r="E18" s="11" t="n">
        <v>0.024</v>
      </c>
      <c r="F18" s="11" t="n">
        <f aca="false">(D18-C18)/C18</f>
        <v>0.333333333333334</v>
      </c>
      <c r="G18" s="11" t="n">
        <f aca="false">((D18/B18)^(1/2))-1</f>
        <v>0.264911064067352</v>
      </c>
      <c r="H18" s="12"/>
    </row>
    <row r="19" customFormat="false" ht="15" hidden="false" customHeight="false" outlineLevel="0" collapsed="false">
      <c r="A19" s="4" t="s">
        <v>30</v>
      </c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5" t="s">
        <v>31</v>
      </c>
      <c r="B20" s="17" t="n">
        <v>0.084</v>
      </c>
      <c r="C20" s="17" t="n">
        <v>0.082</v>
      </c>
      <c r="D20" s="17" t="n">
        <v>0.081</v>
      </c>
      <c r="E20" s="17" t="n">
        <v>0.08</v>
      </c>
      <c r="F20" s="7" t="n">
        <f aca="false">(D20-C20)/C20</f>
        <v>-0.0121951219512195</v>
      </c>
      <c r="G20" s="7" t="n">
        <f aca="false">((D20/B20)^(1/2))-1</f>
        <v>-0.0180194939380343</v>
      </c>
      <c r="H20" s="8" t="s">
        <v>32</v>
      </c>
    </row>
    <row r="21" customFormat="false" ht="15" hidden="false" customHeight="false" outlineLevel="0" collapsed="false">
      <c r="A21" s="9" t="s">
        <v>33</v>
      </c>
      <c r="B21" s="18" t="n">
        <v>0.071</v>
      </c>
      <c r="C21" s="18" t="n">
        <v>0.07</v>
      </c>
      <c r="D21" s="18" t="n">
        <v>0.069</v>
      </c>
      <c r="E21" s="18" t="n">
        <v>0.068</v>
      </c>
      <c r="F21" s="11" t="n">
        <f aca="false">(D21-C21)/C21</f>
        <v>-0.0142857142857143</v>
      </c>
      <c r="G21" s="11" t="n">
        <f aca="false">((D21/B21)^(1/2))-1</f>
        <v>-0.0141851157973455</v>
      </c>
      <c r="H21" s="12"/>
    </row>
    <row r="22" customFormat="false" ht="15" hidden="false" customHeight="false" outlineLevel="0" collapsed="false">
      <c r="A22" s="5" t="s">
        <v>34</v>
      </c>
      <c r="B22" s="17" t="n">
        <v>0.038</v>
      </c>
      <c r="C22" s="17" t="n">
        <v>0.037</v>
      </c>
      <c r="D22" s="17" t="n">
        <v>0.036</v>
      </c>
      <c r="E22" s="17" t="n">
        <v>0.035</v>
      </c>
      <c r="F22" s="7" t="n">
        <f aca="false">(D22-C22)/C22</f>
        <v>-0.0270270270270271</v>
      </c>
      <c r="G22" s="7" t="n">
        <f aca="false">((D22/B22)^(1/2))-1</f>
        <v>-0.0266714732154248</v>
      </c>
      <c r="H22" s="8"/>
    </row>
    <row r="23" customFormat="false" ht="15" hidden="false" customHeight="false" outlineLevel="0" collapsed="false">
      <c r="A23" s="19" t="s">
        <v>35</v>
      </c>
      <c r="B23" s="20" t="n">
        <v>0.0052</v>
      </c>
      <c r="C23" s="20" t="n">
        <v>0.0058</v>
      </c>
      <c r="D23" s="20" t="n">
        <v>0.0064</v>
      </c>
      <c r="E23" s="20" t="n">
        <v>0.0071</v>
      </c>
      <c r="F23" s="21" t="n">
        <f aca="false">(D23-C23)/C23</f>
        <v>0.103448275862069</v>
      </c>
      <c r="G23" s="21" t="n">
        <f aca="false">((D23/B23)^(1/2))-1</f>
        <v>0.109400392450458</v>
      </c>
      <c r="H23" s="22" t="s">
        <v>36</v>
      </c>
    </row>
    <row r="24" customFormat="false" ht="15" hidden="false" customHeight="false" outlineLevel="0" collapsed="false">
      <c r="A24" s="5" t="s">
        <v>37</v>
      </c>
      <c r="B24" s="17" t="n">
        <v>0.011</v>
      </c>
      <c r="C24" s="17" t="n">
        <v>0.012</v>
      </c>
      <c r="D24" s="17" t="n">
        <v>0.013</v>
      </c>
      <c r="E24" s="17" t="n">
        <v>0.014</v>
      </c>
      <c r="F24" s="7" t="n">
        <f aca="false">(D24-C24)/C24</f>
        <v>0.0833333333333333</v>
      </c>
      <c r="G24" s="7" t="n">
        <f aca="false">((D24/B24)^(1/2))-1</f>
        <v>0.087114613009218</v>
      </c>
      <c r="H24" s="8" t="s">
        <v>38</v>
      </c>
    </row>
    <row r="25" customFormat="false" ht="15" hidden="false" customHeight="false" outlineLevel="0" collapsed="false">
      <c r="A25" s="9" t="s">
        <v>39</v>
      </c>
      <c r="B25" s="18" t="n">
        <v>0.028</v>
      </c>
      <c r="C25" s="18" t="n">
        <v>0.028</v>
      </c>
      <c r="D25" s="18" t="n">
        <v>0.027</v>
      </c>
      <c r="E25" s="18" t="n">
        <v>0.026</v>
      </c>
      <c r="F25" s="11" t="n">
        <f aca="false">(D25-C25)/C25</f>
        <v>-0.0357142857142858</v>
      </c>
      <c r="G25" s="11" t="n">
        <f aca="false">((D25/B25)^(1/2))-1</f>
        <v>-0.0180194939380343</v>
      </c>
      <c r="H25" s="12"/>
    </row>
  </sheetData>
  <mergeCells count="7">
    <mergeCell ref="A1:H1"/>
    <mergeCell ref="A2:H2"/>
    <mergeCell ref="A5:H5"/>
    <mergeCell ref="A10:H10"/>
    <mergeCell ref="A13:H13"/>
    <mergeCell ref="A16:H16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1" t="s">
        <v>40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23" t="s">
        <v>42</v>
      </c>
    </row>
    <row r="5" customFormat="false" ht="15" hidden="false" customHeight="false" outlineLevel="0" collapsed="false">
      <c r="A5" s="3" t="s">
        <v>43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9</v>
      </c>
    </row>
    <row r="6" customFormat="false" ht="15" hidden="false" customHeight="false" outlineLevel="0" collapsed="false">
      <c r="A6" s="5" t="s">
        <v>49</v>
      </c>
      <c r="B6" s="24" t="n">
        <v>1240</v>
      </c>
      <c r="C6" s="24" t="n">
        <v>3870</v>
      </c>
      <c r="D6" s="24" t="n">
        <v>3690</v>
      </c>
      <c r="E6" s="7" t="n">
        <f aca="false">(C6-D6)/D6</f>
        <v>0.0487804878048781</v>
      </c>
      <c r="F6" s="5" t="s">
        <v>50</v>
      </c>
      <c r="G6" s="5" t="s">
        <v>51</v>
      </c>
    </row>
    <row r="7" customFormat="false" ht="15" hidden="false" customHeight="false" outlineLevel="0" collapsed="false">
      <c r="A7" s="19" t="s">
        <v>52</v>
      </c>
      <c r="B7" s="25" t="n">
        <v>5.8</v>
      </c>
      <c r="C7" s="25" t="n">
        <v>2.1</v>
      </c>
      <c r="D7" s="25" t="n">
        <v>2.3</v>
      </c>
      <c r="E7" s="21" t="n">
        <f aca="false">(C7-D7)/D7</f>
        <v>-0.0869565217391303</v>
      </c>
      <c r="F7" s="19" t="s">
        <v>53</v>
      </c>
      <c r="G7" s="19" t="s">
        <v>54</v>
      </c>
    </row>
    <row r="8" customFormat="false" ht="15" hidden="false" customHeight="false" outlineLevel="0" collapsed="false">
      <c r="A8" s="19" t="s">
        <v>55</v>
      </c>
      <c r="B8" s="21" t="n">
        <v>0.71</v>
      </c>
      <c r="C8" s="21" t="n">
        <v>0.038</v>
      </c>
      <c r="D8" s="21" t="n">
        <v>0.041</v>
      </c>
      <c r="E8" s="21" t="n">
        <f aca="false">(C8-D8)/D8</f>
        <v>-0.0731707317073171</v>
      </c>
      <c r="F8" s="19" t="s">
        <v>53</v>
      </c>
      <c r="G8" s="19" t="s">
        <v>56</v>
      </c>
    </row>
    <row r="9" customFormat="false" ht="15" hidden="false" customHeight="false" outlineLevel="0" collapsed="false">
      <c r="A9" s="26" t="s">
        <v>57</v>
      </c>
      <c r="B9" s="27"/>
      <c r="C9" s="27" t="n">
        <v>0.024</v>
      </c>
      <c r="D9" s="27" t="n">
        <v>0.031</v>
      </c>
      <c r="E9" s="27" t="n">
        <f aca="false">(C9-D9)/D9</f>
        <v>-0.225806451612903</v>
      </c>
      <c r="F9" s="26" t="s">
        <v>58</v>
      </c>
      <c r="G9" s="26" t="s">
        <v>59</v>
      </c>
    </row>
    <row r="10" customFormat="false" ht="15" hidden="false" customHeight="false" outlineLevel="0" collapsed="false">
      <c r="A10" s="26" t="s">
        <v>60</v>
      </c>
      <c r="B10" s="27"/>
      <c r="C10" s="27" t="n">
        <v>0.182</v>
      </c>
      <c r="D10" s="27" t="n">
        <v>0.241</v>
      </c>
      <c r="E10" s="27" t="n">
        <f aca="false">(C10-D10)/D10</f>
        <v>-0.244813278008299</v>
      </c>
      <c r="F10" s="26" t="s">
        <v>58</v>
      </c>
      <c r="G10" s="26" t="s">
        <v>61</v>
      </c>
    </row>
    <row r="11" customFormat="false" ht="15" hidden="false" customHeight="false" outlineLevel="0" collapsed="false">
      <c r="A11" s="19" t="s">
        <v>62</v>
      </c>
      <c r="B11" s="21" t="n">
        <v>0.004</v>
      </c>
      <c r="C11" s="21" t="n">
        <v>0.032</v>
      </c>
      <c r="D11" s="21" t="n">
        <v>0.028</v>
      </c>
      <c r="E11" s="21" t="n">
        <f aca="false">(C11-D11)/D11</f>
        <v>0.142857142857143</v>
      </c>
      <c r="F11" s="19" t="s">
        <v>53</v>
      </c>
      <c r="G11" s="19" t="s">
        <v>63</v>
      </c>
    </row>
    <row r="12" customFormat="false" ht="15" hidden="false" customHeight="false" outlineLevel="0" collapsed="false">
      <c r="A12" s="19" t="s">
        <v>64</v>
      </c>
      <c r="B12" s="21"/>
      <c r="C12" s="21" t="n">
        <v>0.048</v>
      </c>
      <c r="D12" s="21" t="n">
        <v>0.039</v>
      </c>
      <c r="E12" s="21" t="n">
        <f aca="false">(C12-D12)/D12</f>
        <v>0.230769230769231</v>
      </c>
      <c r="F12" s="19" t="s">
        <v>53</v>
      </c>
      <c r="G12" s="19" t="s">
        <v>65</v>
      </c>
    </row>
    <row r="15" customFormat="false" ht="15" hidden="false" customHeight="false" outlineLevel="0" collapsed="false">
      <c r="A15" s="23" t="s">
        <v>66</v>
      </c>
    </row>
    <row r="16" customFormat="false" ht="15" hidden="false" customHeight="false" outlineLevel="0" collapsed="false">
      <c r="A16" s="3" t="s">
        <v>43</v>
      </c>
      <c r="B16" s="3" t="s">
        <v>67</v>
      </c>
      <c r="C16" s="3" t="s">
        <v>68</v>
      </c>
      <c r="D16" s="3" t="s">
        <v>69</v>
      </c>
      <c r="E16" s="3" t="s">
        <v>70</v>
      </c>
      <c r="F16" s="3" t="s">
        <v>71</v>
      </c>
      <c r="G16" s="3" t="s">
        <v>9</v>
      </c>
    </row>
    <row r="17" customFormat="false" ht="15" hidden="false" customHeight="false" outlineLevel="0" collapsed="false">
      <c r="A17" s="5" t="s">
        <v>72</v>
      </c>
      <c r="B17" s="28" t="n">
        <v>6400000</v>
      </c>
      <c r="C17" s="5" t="s">
        <v>73</v>
      </c>
      <c r="D17" s="8"/>
      <c r="E17" s="8"/>
      <c r="F17" s="8"/>
      <c r="G17" s="5" t="s">
        <v>74</v>
      </c>
    </row>
    <row r="18" customFormat="false" ht="15" hidden="false" customHeight="false" outlineLevel="0" collapsed="false">
      <c r="A18" s="9" t="s">
        <v>75</v>
      </c>
      <c r="B18" s="29" t="n">
        <v>14200000</v>
      </c>
      <c r="C18" s="9" t="s">
        <v>73</v>
      </c>
      <c r="D18" s="12"/>
      <c r="E18" s="12"/>
      <c r="F18" s="12"/>
      <c r="G18" s="9" t="s">
        <v>76</v>
      </c>
    </row>
    <row r="19" customFormat="false" ht="15" hidden="false" customHeight="false" outlineLevel="0" collapsed="false">
      <c r="A19" s="5" t="s">
        <v>77</v>
      </c>
      <c r="B19" s="7" t="n">
        <v>0.38</v>
      </c>
      <c r="C19" s="5" t="s">
        <v>78</v>
      </c>
      <c r="D19" s="7"/>
      <c r="E19" s="7"/>
      <c r="F19" s="8"/>
      <c r="G19" s="5" t="s">
        <v>79</v>
      </c>
    </row>
    <row r="20" customFormat="false" ht="15" hidden="false" customHeight="false" outlineLevel="0" collapsed="false">
      <c r="A20" s="9" t="s">
        <v>80</v>
      </c>
      <c r="B20" s="30" t="n">
        <v>680</v>
      </c>
      <c r="C20" s="9" t="s">
        <v>81</v>
      </c>
      <c r="D20" s="30"/>
      <c r="E20" s="30"/>
      <c r="F20" s="12"/>
      <c r="G20" s="9" t="s">
        <v>82</v>
      </c>
    </row>
    <row r="21" customFormat="false" ht="15" hidden="false" customHeight="false" outlineLevel="0" collapsed="false">
      <c r="A21" s="13" t="s">
        <v>83</v>
      </c>
      <c r="B21" s="31" t="n">
        <v>7200</v>
      </c>
      <c r="C21" s="13" t="s">
        <v>84</v>
      </c>
      <c r="D21" s="31" t="n">
        <v>7200</v>
      </c>
      <c r="E21" s="31" t="n">
        <v>8640</v>
      </c>
      <c r="F21" s="15" t="n">
        <f aca="false">(E21-D21)/D21</f>
        <v>0.2</v>
      </c>
      <c r="G21" s="13" t="s">
        <v>85</v>
      </c>
    </row>
    <row r="22" customFormat="false" ht="15" hidden="false" customHeight="false" outlineLevel="0" collapsed="false">
      <c r="A22" s="13" t="s">
        <v>86</v>
      </c>
      <c r="B22" s="31" t="n">
        <v>3870</v>
      </c>
      <c r="C22" s="13" t="s">
        <v>84</v>
      </c>
      <c r="D22" s="31" t="n">
        <v>3540</v>
      </c>
      <c r="E22" s="31" t="n">
        <v>4210</v>
      </c>
      <c r="F22" s="15" t="n">
        <f aca="false">(E22-D22)/D22</f>
        <v>0.189265536723164</v>
      </c>
      <c r="G22" s="13"/>
    </row>
    <row r="23" customFormat="false" ht="15" hidden="false" customHeight="false" outlineLevel="0" collapsed="false">
      <c r="A23" s="13" t="s">
        <v>87</v>
      </c>
      <c r="B23" s="16" t="n">
        <v>2.1</v>
      </c>
      <c r="C23" s="13" t="s">
        <v>88</v>
      </c>
      <c r="D23" s="16" t="n">
        <v>1.9</v>
      </c>
      <c r="E23" s="16" t="n">
        <v>2.3</v>
      </c>
      <c r="F23" s="15" t="n">
        <f aca="false">(E23-D23)/D23</f>
        <v>0.210526315789474</v>
      </c>
      <c r="G23" s="13"/>
    </row>
    <row r="24" customFormat="false" ht="15" hidden="false" customHeight="false" outlineLevel="0" collapsed="false">
      <c r="A24" s="13" t="s">
        <v>89</v>
      </c>
      <c r="B24" s="15" t="n">
        <v>0.031</v>
      </c>
      <c r="C24" s="13" t="s">
        <v>78</v>
      </c>
      <c r="D24" s="15" t="n">
        <v>0.034</v>
      </c>
      <c r="E24" s="15" t="n">
        <v>0.027</v>
      </c>
      <c r="F24" s="15" t="n">
        <f aca="false">(E24-D24)/D24</f>
        <v>-0.205882352941177</v>
      </c>
      <c r="G24" s="13" t="s">
        <v>90</v>
      </c>
    </row>
    <row r="25" customFormat="false" ht="15" hidden="false" customHeight="false" outlineLevel="0" collapsed="false">
      <c r="A25" s="5" t="s">
        <v>91</v>
      </c>
      <c r="B25" s="8" t="n">
        <v>41</v>
      </c>
      <c r="C25" s="5" t="s">
        <v>92</v>
      </c>
      <c r="D25" s="8"/>
      <c r="E25" s="8"/>
      <c r="F25" s="8"/>
      <c r="G25" s="5" t="s">
        <v>93</v>
      </c>
    </row>
    <row r="28" customFormat="false" ht="15" hidden="false" customHeight="false" outlineLevel="0" collapsed="false">
      <c r="A28" s="23" t="s">
        <v>94</v>
      </c>
    </row>
    <row r="29" customFormat="false" ht="15" hidden="false" customHeight="false" outlineLevel="0" collapsed="false">
      <c r="A29" s="3" t="s">
        <v>95</v>
      </c>
      <c r="B29" s="3" t="s">
        <v>96</v>
      </c>
      <c r="C29" s="3" t="s">
        <v>97</v>
      </c>
      <c r="D29" s="3" t="s">
        <v>98</v>
      </c>
      <c r="E29" s="3" t="s">
        <v>99</v>
      </c>
      <c r="F29" s="3" t="s">
        <v>48</v>
      </c>
      <c r="G29" s="3" t="s">
        <v>100</v>
      </c>
    </row>
    <row r="30" customFormat="false" ht="15" hidden="false" customHeight="false" outlineLevel="0" collapsed="false">
      <c r="A30" s="5" t="s">
        <v>101</v>
      </c>
      <c r="B30" s="8"/>
      <c r="C30" s="32" t="n">
        <v>68400</v>
      </c>
      <c r="D30" s="8"/>
      <c r="E30" s="8"/>
      <c r="F30" s="5" t="s">
        <v>102</v>
      </c>
      <c r="G30" s="5"/>
    </row>
    <row r="31" customFormat="false" ht="15" hidden="false" customHeight="false" outlineLevel="0" collapsed="false">
      <c r="A31" s="19" t="s">
        <v>103</v>
      </c>
      <c r="B31" s="20" t="n">
        <v>0.97</v>
      </c>
      <c r="C31" s="20" t="n">
        <v>0.964</v>
      </c>
      <c r="D31" s="20" t="n">
        <v>0.958</v>
      </c>
      <c r="E31" s="21" t="n">
        <f aca="false">(C31-B31)/B31</f>
        <v>-0.00618556701030928</v>
      </c>
      <c r="F31" s="19" t="s">
        <v>53</v>
      </c>
      <c r="G31" s="19"/>
    </row>
    <row r="32" customFormat="false" ht="15" hidden="false" customHeight="false" outlineLevel="0" collapsed="false">
      <c r="A32" s="26" t="s">
        <v>104</v>
      </c>
      <c r="B32" s="33" t="n">
        <v>0.035</v>
      </c>
      <c r="C32" s="33" t="n">
        <v>0.041</v>
      </c>
      <c r="D32" s="33" t="n">
        <v>0.063</v>
      </c>
      <c r="E32" s="27" t="n">
        <f aca="false">(C32-B32)/B32</f>
        <v>0.171428571428571</v>
      </c>
      <c r="F32" s="26" t="s">
        <v>58</v>
      </c>
      <c r="G32" s="26" t="s">
        <v>105</v>
      </c>
    </row>
    <row r="33" customFormat="false" ht="15" hidden="false" customHeight="false" outlineLevel="0" collapsed="false">
      <c r="A33" s="19" t="s">
        <v>106</v>
      </c>
      <c r="B33" s="20" t="n">
        <v>0.012</v>
      </c>
      <c r="C33" s="20" t="n">
        <v>0.0131</v>
      </c>
      <c r="D33" s="20" t="n">
        <v>0.0145</v>
      </c>
      <c r="E33" s="21" t="n">
        <f aca="false">(C33-B33)/B33</f>
        <v>0.0916666666666667</v>
      </c>
      <c r="F33" s="19" t="s">
        <v>53</v>
      </c>
      <c r="G33" s="19" t="s">
        <v>107</v>
      </c>
    </row>
    <row r="34" customFormat="false" ht="15" hidden="false" customHeight="false" outlineLevel="0" collapsed="false">
      <c r="A34" s="19" t="s">
        <v>108</v>
      </c>
      <c r="B34" s="34" t="n">
        <v>33</v>
      </c>
      <c r="C34" s="34" t="n">
        <v>38</v>
      </c>
      <c r="D34" s="34" t="n">
        <v>41</v>
      </c>
      <c r="E34" s="21" t="n">
        <f aca="false">(C34-B34)/B34</f>
        <v>0.151515151515152</v>
      </c>
      <c r="F34" s="19" t="s">
        <v>53</v>
      </c>
      <c r="G34" s="19" t="s">
        <v>109</v>
      </c>
    </row>
    <row r="35" customFormat="false" ht="15" hidden="false" customHeight="false" outlineLevel="0" collapsed="false">
      <c r="A35" s="5" t="s">
        <v>110</v>
      </c>
      <c r="B35" s="8"/>
      <c r="C35" s="17" t="n">
        <v>0.22</v>
      </c>
      <c r="D35" s="8"/>
      <c r="E35" s="8"/>
      <c r="F35" s="5" t="s">
        <v>102</v>
      </c>
      <c r="G35" s="5" t="s">
        <v>111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4"/>
    <col collapsed="false" customWidth="true" hidden="false" outlineLevel="0" max="5" min="5" style="0" width="36"/>
    <col collapsed="false" customWidth="true" hidden="false" outlineLevel="0" max="7" min="6" style="0" width="10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112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113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114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115</v>
      </c>
      <c r="G4" s="3" t="s">
        <v>116</v>
      </c>
      <c r="H4" s="3" t="s">
        <v>9</v>
      </c>
    </row>
    <row r="5" customFormat="false" ht="15" hidden="false" customHeight="false" outlineLevel="0" collapsed="false">
      <c r="A5" s="4" t="s">
        <v>117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35" t="s">
        <v>118</v>
      </c>
      <c r="B6" s="36" t="n">
        <v>3.1</v>
      </c>
      <c r="C6" s="36" t="n">
        <v>3.6</v>
      </c>
      <c r="D6" s="36" t="n">
        <v>4.2</v>
      </c>
      <c r="E6" s="36" t="n">
        <v>4.8</v>
      </c>
      <c r="F6" s="36" t="n">
        <v>5.1</v>
      </c>
      <c r="G6" s="37" t="n">
        <f aca="false">((F6/B6)^(1/4))-1</f>
        <v>0.132536273066358</v>
      </c>
      <c r="H6" s="35" t="s">
        <v>119</v>
      </c>
    </row>
    <row r="7" customFormat="false" ht="15" hidden="false" customHeight="false" outlineLevel="0" collapsed="false">
      <c r="A7" s="9" t="s">
        <v>120</v>
      </c>
      <c r="B7" s="10" t="n">
        <v>1.24</v>
      </c>
      <c r="C7" s="10" t="n">
        <v>1.44</v>
      </c>
      <c r="D7" s="10" t="n">
        <v>1.55</v>
      </c>
      <c r="E7" s="10" t="n">
        <v>1.68</v>
      </c>
      <c r="F7" s="10" t="n">
        <v>1.75</v>
      </c>
      <c r="G7" s="11" t="n">
        <f aca="false">((F7/B7)^(1/4))-1</f>
        <v>0.08994376381478</v>
      </c>
      <c r="H7" s="9" t="s">
        <v>121</v>
      </c>
    </row>
    <row r="8" customFormat="false" ht="15" hidden="false" customHeight="false" outlineLevel="0" collapsed="false">
      <c r="A8" s="5" t="s">
        <v>122</v>
      </c>
      <c r="B8" s="6" t="n">
        <v>0.62</v>
      </c>
      <c r="C8" s="6" t="n">
        <v>0.72</v>
      </c>
      <c r="D8" s="6" t="n">
        <v>0.88</v>
      </c>
      <c r="E8" s="6" t="n">
        <v>1.05</v>
      </c>
      <c r="F8" s="6" t="n">
        <v>1.1</v>
      </c>
      <c r="G8" s="7" t="n">
        <f aca="false">((F8/B8)^(1/4))-1</f>
        <v>0.154118091516344</v>
      </c>
      <c r="H8" s="5" t="s">
        <v>123</v>
      </c>
    </row>
    <row r="9" customFormat="false" ht="15" hidden="false" customHeight="false" outlineLevel="0" collapsed="false">
      <c r="A9" s="9" t="s">
        <v>124</v>
      </c>
      <c r="B9" s="10" t="n">
        <v>0.46</v>
      </c>
      <c r="C9" s="10" t="n">
        <v>0.54</v>
      </c>
      <c r="D9" s="10" t="n">
        <v>0.67</v>
      </c>
      <c r="E9" s="10" t="n">
        <v>0.82</v>
      </c>
      <c r="F9" s="10" t="n">
        <v>0.9</v>
      </c>
      <c r="G9" s="11" t="n">
        <f aca="false">((F9/B9)^(1/4))-1</f>
        <v>0.182690666387653</v>
      </c>
      <c r="H9" s="9" t="s">
        <v>125</v>
      </c>
    </row>
    <row r="10" customFormat="false" ht="15" hidden="false" customHeight="false" outlineLevel="0" collapsed="false">
      <c r="A10" s="13" t="s">
        <v>126</v>
      </c>
      <c r="B10" s="14" t="n">
        <v>0.08</v>
      </c>
      <c r="C10" s="14" t="n">
        <v>0.14</v>
      </c>
      <c r="D10" s="14" t="n">
        <v>0.22</v>
      </c>
      <c r="E10" s="14" t="n">
        <v>0.33</v>
      </c>
      <c r="F10" s="14" t="n">
        <v>0.41</v>
      </c>
      <c r="G10" s="15" t="n">
        <f aca="false">((F10/B10)^(1/4))-1</f>
        <v>0.504608349217282</v>
      </c>
      <c r="H10" s="13" t="s">
        <v>127</v>
      </c>
    </row>
    <row r="11" customFormat="false" ht="15" hidden="false" customHeight="false" outlineLevel="0" collapsed="false">
      <c r="A11" s="9" t="s">
        <v>128</v>
      </c>
      <c r="B11" s="10" t="n">
        <v>0.16</v>
      </c>
      <c r="C11" s="10" t="n">
        <v>0.18</v>
      </c>
      <c r="D11" s="10" t="n">
        <v>0.21</v>
      </c>
      <c r="E11" s="10" t="n">
        <v>0.24</v>
      </c>
      <c r="F11" s="10" t="n">
        <v>0.25</v>
      </c>
      <c r="G11" s="11" t="n">
        <f aca="false">((F11/B11)^(1/4))-1</f>
        <v>0.118033988749895</v>
      </c>
      <c r="H11" s="9"/>
    </row>
    <row r="12" customFormat="false" ht="15" hidden="false" customHeight="false" outlineLevel="0" collapsed="false">
      <c r="A12" s="5" t="s">
        <v>129</v>
      </c>
      <c r="B12" s="6" t="n">
        <v>0.08</v>
      </c>
      <c r="C12" s="6" t="n">
        <v>0.1</v>
      </c>
      <c r="D12" s="6" t="n">
        <v>0.14</v>
      </c>
      <c r="E12" s="6" t="n">
        <v>0.18</v>
      </c>
      <c r="F12" s="6" t="n">
        <v>0.2</v>
      </c>
      <c r="G12" s="7" t="n">
        <f aca="false">((F12/B12)^(1/4))-1</f>
        <v>0.257433429682936</v>
      </c>
      <c r="H12" s="5"/>
    </row>
    <row r="13" customFormat="false" ht="15" hidden="false" customHeight="false" outlineLevel="0" collapsed="false">
      <c r="A13" s="9" t="s">
        <v>130</v>
      </c>
      <c r="B13" s="10" t="n">
        <v>0.3</v>
      </c>
      <c r="C13" s="10" t="n">
        <v>0.36</v>
      </c>
      <c r="D13" s="10" t="n">
        <v>0.52</v>
      </c>
      <c r="E13" s="10" t="n">
        <v>0.58</v>
      </c>
      <c r="F13" s="10" t="n">
        <v>0.62</v>
      </c>
      <c r="G13" s="11" t="n">
        <f aca="false">((F13/B13)^(1/4))-1</f>
        <v>0.198995653393507</v>
      </c>
      <c r="H13" s="9"/>
    </row>
    <row r="14" customFormat="false" ht="15" hidden="false" customHeight="false" outlineLevel="0" collapsed="false">
      <c r="A14" s="5" t="s">
        <v>131</v>
      </c>
      <c r="B14" s="6" t="n">
        <v>0.24</v>
      </c>
      <c r="C14" s="6" t="n">
        <v>0.26</v>
      </c>
      <c r="D14" s="6" t="n">
        <v>0.23</v>
      </c>
      <c r="E14" s="6" t="n">
        <v>0.25</v>
      </c>
      <c r="F14" s="6" t="n">
        <v>0.28</v>
      </c>
      <c r="G14" s="7" t="n">
        <f aca="false">((F14/B14)^(1/4))-1</f>
        <v>0.0392898776254118</v>
      </c>
      <c r="H14" s="5"/>
    </row>
    <row r="16" customFormat="false" ht="15" hidden="false" customHeight="false" outlineLevel="0" collapsed="false">
      <c r="A16" s="23" t="s">
        <v>132</v>
      </c>
    </row>
    <row r="17" customFormat="false" ht="15" hidden="false" customHeight="false" outlineLevel="0" collapsed="false">
      <c r="A17" s="38" t="s">
        <v>133</v>
      </c>
      <c r="B17" s="38" t="s">
        <v>134</v>
      </c>
      <c r="C17" s="38" t="s">
        <v>135</v>
      </c>
      <c r="D17" s="38" t="s">
        <v>136</v>
      </c>
      <c r="E17" s="38" t="s">
        <v>137</v>
      </c>
    </row>
    <row r="18" customFormat="false" ht="15" hidden="false" customHeight="false" outlineLevel="0" collapsed="false">
      <c r="A18" s="35" t="s">
        <v>138</v>
      </c>
      <c r="B18" s="39" t="n">
        <v>340</v>
      </c>
      <c r="C18" s="40"/>
      <c r="D18" s="39" t="n">
        <v>238</v>
      </c>
      <c r="E18" s="35" t="s">
        <v>139</v>
      </c>
    </row>
    <row r="19" customFormat="false" ht="15" hidden="false" customHeight="false" outlineLevel="0" collapsed="false">
      <c r="A19" s="26" t="s">
        <v>140</v>
      </c>
      <c r="B19" s="41" t="n">
        <v>190</v>
      </c>
      <c r="C19" s="42"/>
      <c r="D19" s="41" t="n">
        <v>103</v>
      </c>
      <c r="E19" s="26" t="s">
        <v>141</v>
      </c>
    </row>
    <row r="20" customFormat="false" ht="15" hidden="false" customHeight="false" outlineLevel="0" collapsed="false">
      <c r="A20" s="26" t="s">
        <v>142</v>
      </c>
      <c r="B20" s="41" t="n">
        <v>85</v>
      </c>
      <c r="C20" s="42"/>
      <c r="D20" s="41" t="n">
        <v>60</v>
      </c>
      <c r="E20" s="26" t="s">
        <v>143</v>
      </c>
    </row>
    <row r="21" customFormat="false" ht="15" hidden="false" customHeight="false" outlineLevel="0" collapsed="false">
      <c r="A21" s="19" t="s">
        <v>144</v>
      </c>
      <c r="B21" s="43" t="n">
        <v>40</v>
      </c>
      <c r="C21" s="22"/>
      <c r="D21" s="43" t="n">
        <v>50</v>
      </c>
      <c r="E21" s="19" t="s">
        <v>145</v>
      </c>
    </row>
    <row r="22" customFormat="false" ht="15" hidden="false" customHeight="false" outlineLevel="0" collapsed="false">
      <c r="A22" s="9" t="s">
        <v>146</v>
      </c>
      <c r="B22" s="44" t="n">
        <v>25</v>
      </c>
      <c r="C22" s="12"/>
      <c r="D22" s="44" t="n">
        <v>25</v>
      </c>
      <c r="E22" s="9" t="s">
        <v>147</v>
      </c>
    </row>
    <row r="24" customFormat="false" ht="15" hidden="false" customHeight="false" outlineLevel="0" collapsed="false">
      <c r="A24" s="23" t="s">
        <v>148</v>
      </c>
    </row>
    <row r="25" customFormat="false" ht="15" hidden="false" customHeight="false" outlineLevel="0" collapsed="false">
      <c r="A25" s="3" t="s">
        <v>149</v>
      </c>
      <c r="B25" s="3" t="s">
        <v>150</v>
      </c>
      <c r="C25" s="3" t="s">
        <v>151</v>
      </c>
      <c r="D25" s="3" t="s">
        <v>152</v>
      </c>
      <c r="E25" s="3" t="s">
        <v>9</v>
      </c>
    </row>
    <row r="26" customFormat="false" ht="15" hidden="false" customHeight="false" outlineLevel="0" collapsed="false">
      <c r="A26" s="5" t="s">
        <v>153</v>
      </c>
      <c r="B26" s="45" t="n">
        <v>340</v>
      </c>
      <c r="C26" s="45" t="n">
        <v>238</v>
      </c>
      <c r="D26" s="45" t="n">
        <v>340</v>
      </c>
      <c r="E26" s="5" t="s">
        <v>154</v>
      </c>
    </row>
    <row r="27" customFormat="false" ht="15" hidden="false" customHeight="false" outlineLevel="0" collapsed="false">
      <c r="A27" s="9" t="s">
        <v>155</v>
      </c>
      <c r="B27" s="44" t="n">
        <v>480</v>
      </c>
      <c r="C27" s="44" t="n">
        <v>310</v>
      </c>
      <c r="D27" s="44" t="n">
        <v>215</v>
      </c>
      <c r="E27" s="9"/>
    </row>
    <row r="28" customFormat="false" ht="15" hidden="false" customHeight="false" outlineLevel="0" collapsed="false">
      <c r="A28" s="5" t="s">
        <v>156</v>
      </c>
      <c r="B28" s="45" t="n">
        <v>890</v>
      </c>
      <c r="C28" s="45" t="n">
        <v>500</v>
      </c>
      <c r="D28" s="45" t="n">
        <v>390</v>
      </c>
      <c r="E28" s="5"/>
    </row>
    <row r="29" customFormat="false" ht="15" hidden="false" customHeight="false" outlineLevel="0" collapsed="false">
      <c r="A29" s="9" t="s">
        <v>157</v>
      </c>
      <c r="B29" s="44" t="n">
        <v>1240</v>
      </c>
      <c r="C29" s="44" t="n">
        <v>720</v>
      </c>
      <c r="D29" s="44" t="n">
        <v>560</v>
      </c>
      <c r="E29" s="9"/>
    </row>
    <row r="30" customFormat="false" ht="15" hidden="false" customHeight="false" outlineLevel="0" collapsed="false">
      <c r="A30" s="5" t="s">
        <v>158</v>
      </c>
      <c r="B30" s="46" t="n">
        <v>10</v>
      </c>
      <c r="C30" s="46" t="n">
        <v>16</v>
      </c>
      <c r="D30" s="46" t="n">
        <v>21</v>
      </c>
      <c r="E30" s="5" t="s">
        <v>159</v>
      </c>
    </row>
    <row r="31" customFormat="false" ht="15" hidden="false" customHeight="false" outlineLevel="0" collapsed="false">
      <c r="A31" s="9" t="s">
        <v>160</v>
      </c>
      <c r="B31" s="47" t="n">
        <v>3.8</v>
      </c>
      <c r="C31" s="47" t="n">
        <v>2.3</v>
      </c>
      <c r="D31" s="47" t="n">
        <v>1.9</v>
      </c>
      <c r="E31" s="9"/>
    </row>
    <row r="32" customFormat="false" ht="15" hidden="false" customHeight="false" outlineLevel="0" collapsed="false">
      <c r="A32" s="5" t="s">
        <v>161</v>
      </c>
      <c r="B32" s="45" t="n">
        <v>180</v>
      </c>
      <c r="C32" s="45" t="n">
        <v>90</v>
      </c>
      <c r="D32" s="45" t="n">
        <v>55</v>
      </c>
      <c r="E32" s="5"/>
    </row>
    <row r="33" customFormat="false" ht="15" hidden="false" customHeight="false" outlineLevel="0" collapsed="false">
      <c r="A33" s="9" t="s">
        <v>162</v>
      </c>
      <c r="B33" s="44" t="n">
        <v>1680</v>
      </c>
      <c r="C33" s="44" t="n">
        <v>740</v>
      </c>
      <c r="D33" s="44" t="n">
        <v>510</v>
      </c>
      <c r="E33" s="9" t="s">
        <v>163</v>
      </c>
    </row>
  </sheetData>
  <mergeCells count="3">
    <mergeCell ref="A1:H1"/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36"/>
  </cols>
  <sheetData>
    <row r="1" customFormat="false" ht="19.7" hidden="false" customHeight="false" outlineLevel="0" collapsed="false">
      <c r="A1" s="1" t="s">
        <v>164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165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4" t="s">
        <v>166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3" t="s">
        <v>95</v>
      </c>
      <c r="B5" s="3" t="s">
        <v>96</v>
      </c>
      <c r="C5" s="3" t="s">
        <v>97</v>
      </c>
      <c r="D5" s="3" t="s">
        <v>98</v>
      </c>
      <c r="E5" s="3" t="s">
        <v>48</v>
      </c>
      <c r="F5" s="3" t="s">
        <v>100</v>
      </c>
    </row>
    <row r="6" customFormat="false" ht="15" hidden="false" customHeight="false" outlineLevel="0" collapsed="false">
      <c r="A6" s="26" t="s">
        <v>167</v>
      </c>
      <c r="B6" s="26" t="s">
        <v>168</v>
      </c>
      <c r="C6" s="27" t="n">
        <v>0.948</v>
      </c>
      <c r="D6" s="27" t="n">
        <v>0.92</v>
      </c>
      <c r="E6" s="26" t="s">
        <v>58</v>
      </c>
      <c r="F6" s="26" t="s">
        <v>169</v>
      </c>
    </row>
    <row r="7" customFormat="false" ht="15" hidden="false" customHeight="false" outlineLevel="0" collapsed="false">
      <c r="A7" s="26" t="s">
        <v>170</v>
      </c>
      <c r="B7" s="26" t="s">
        <v>171</v>
      </c>
      <c r="C7" s="27" t="n">
        <v>0.863</v>
      </c>
      <c r="D7" s="27" t="n">
        <v>0.81</v>
      </c>
      <c r="E7" s="26" t="s">
        <v>58</v>
      </c>
      <c r="F7" s="26" t="s">
        <v>172</v>
      </c>
    </row>
    <row r="8" customFormat="false" ht="15" hidden="false" customHeight="false" outlineLevel="0" collapsed="false">
      <c r="A8" s="19" t="s">
        <v>173</v>
      </c>
      <c r="B8" s="19" t="s">
        <v>174</v>
      </c>
      <c r="C8" s="25" t="n">
        <v>21.4</v>
      </c>
      <c r="D8" s="22" t="n">
        <v>30</v>
      </c>
      <c r="E8" s="19" t="s">
        <v>53</v>
      </c>
      <c r="F8" s="19"/>
    </row>
    <row r="9" customFormat="false" ht="15" hidden="false" customHeight="false" outlineLevel="0" collapsed="false">
      <c r="A9" s="26" t="s">
        <v>175</v>
      </c>
      <c r="B9" s="26" t="s">
        <v>176</v>
      </c>
      <c r="C9" s="48" t="n">
        <v>2.4</v>
      </c>
      <c r="D9" s="42" t="n">
        <v>3.5</v>
      </c>
      <c r="E9" s="26" t="s">
        <v>58</v>
      </c>
      <c r="F9" s="26" t="s">
        <v>177</v>
      </c>
    </row>
    <row r="10" customFormat="false" ht="15" hidden="false" customHeight="false" outlineLevel="0" collapsed="false">
      <c r="A10" s="5" t="s">
        <v>178</v>
      </c>
      <c r="B10" s="5" t="s">
        <v>102</v>
      </c>
      <c r="C10" s="8"/>
      <c r="D10" s="8" t="s">
        <v>179</v>
      </c>
      <c r="E10" s="5" t="s">
        <v>180</v>
      </c>
      <c r="F10" s="5" t="s">
        <v>181</v>
      </c>
    </row>
    <row r="12" customFormat="false" ht="15" hidden="false" customHeight="false" outlineLevel="0" collapsed="false">
      <c r="A12" s="4" t="s">
        <v>182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3" t="s">
        <v>95</v>
      </c>
      <c r="B13" s="3" t="s">
        <v>96</v>
      </c>
      <c r="C13" s="3" t="s">
        <v>97</v>
      </c>
      <c r="D13" s="3" t="s">
        <v>183</v>
      </c>
      <c r="E13" s="3" t="s">
        <v>48</v>
      </c>
      <c r="F13" s="3" t="s">
        <v>9</v>
      </c>
    </row>
    <row r="14" customFormat="false" ht="15" hidden="false" customHeight="false" outlineLevel="0" collapsed="false">
      <c r="A14" s="19" t="s">
        <v>184</v>
      </c>
      <c r="B14" s="19" t="s">
        <v>102</v>
      </c>
      <c r="C14" s="22" t="n">
        <v>8</v>
      </c>
      <c r="D14" s="19" t="s">
        <v>185</v>
      </c>
      <c r="E14" s="19" t="s">
        <v>53</v>
      </c>
      <c r="F14" s="19" t="s">
        <v>186</v>
      </c>
    </row>
    <row r="15" customFormat="false" ht="15" hidden="false" customHeight="false" outlineLevel="0" collapsed="false">
      <c r="A15" s="26" t="s">
        <v>187</v>
      </c>
      <c r="B15" s="26" t="s">
        <v>188</v>
      </c>
      <c r="C15" s="27" t="n">
        <v>0.83</v>
      </c>
      <c r="D15" s="26" t="n">
        <v>0.99</v>
      </c>
      <c r="E15" s="26" t="s">
        <v>58</v>
      </c>
      <c r="F15" s="26" t="s">
        <v>189</v>
      </c>
    </row>
    <row r="16" customFormat="false" ht="15" hidden="false" customHeight="false" outlineLevel="0" collapsed="false">
      <c r="A16" s="19" t="s">
        <v>190</v>
      </c>
      <c r="B16" s="19" t="s">
        <v>102</v>
      </c>
      <c r="C16" s="21" t="n">
        <v>0.41</v>
      </c>
      <c r="D16" s="19" t="n">
        <v>0.41</v>
      </c>
      <c r="E16" s="19" t="s">
        <v>53</v>
      </c>
      <c r="F16" s="19" t="s">
        <v>191</v>
      </c>
    </row>
    <row r="17" customFormat="false" ht="15" hidden="false" customHeight="false" outlineLevel="0" collapsed="false">
      <c r="A17" s="19" t="s">
        <v>192</v>
      </c>
      <c r="B17" s="19" t="s">
        <v>193</v>
      </c>
      <c r="C17" s="22" t="s">
        <v>193</v>
      </c>
      <c r="D17" s="19" t="s">
        <v>193</v>
      </c>
      <c r="E17" s="19" t="s">
        <v>53</v>
      </c>
      <c r="F17" s="19" t="s">
        <v>194</v>
      </c>
    </row>
    <row r="18" customFormat="false" ht="15" hidden="false" customHeight="false" outlineLevel="0" collapsed="false">
      <c r="A18" s="19" t="s">
        <v>195</v>
      </c>
      <c r="B18" s="19" t="s">
        <v>102</v>
      </c>
      <c r="C18" s="22" t="n">
        <v>340</v>
      </c>
      <c r="D18" s="19" t="n">
        <v>340</v>
      </c>
      <c r="E18" s="19" t="s">
        <v>53</v>
      </c>
      <c r="F18" s="19" t="s">
        <v>196</v>
      </c>
    </row>
    <row r="20" customFormat="false" ht="15" hidden="false" customHeight="false" outlineLevel="0" collapsed="false">
      <c r="A20" s="4" t="s">
        <v>197</v>
      </c>
      <c r="B20" s="4"/>
      <c r="C20" s="4"/>
      <c r="D20" s="4"/>
      <c r="E20" s="4"/>
      <c r="F20" s="4"/>
    </row>
    <row r="21" customFormat="false" ht="15" hidden="false" customHeight="false" outlineLevel="0" collapsed="false">
      <c r="A21" s="3" t="s">
        <v>198</v>
      </c>
      <c r="B21" s="3" t="s">
        <v>199</v>
      </c>
      <c r="C21" s="3" t="s">
        <v>200</v>
      </c>
      <c r="D21" s="3" t="s">
        <v>201</v>
      </c>
      <c r="E21" s="3" t="s">
        <v>202</v>
      </c>
      <c r="F21" s="3"/>
    </row>
    <row r="22" customFormat="false" ht="15" hidden="false" customHeight="false" outlineLevel="0" collapsed="false">
      <c r="A22" s="5" t="s">
        <v>203</v>
      </c>
      <c r="B22" s="45" t="n">
        <v>18</v>
      </c>
      <c r="C22" s="45" t="n">
        <v>270</v>
      </c>
      <c r="D22" s="45" t="n">
        <v>310</v>
      </c>
      <c r="E22" s="5" t="s">
        <v>204</v>
      </c>
      <c r="F22" s="5"/>
    </row>
    <row r="23" customFormat="false" ht="15" hidden="false" customHeight="false" outlineLevel="0" collapsed="false">
      <c r="A23" s="9" t="s">
        <v>205</v>
      </c>
      <c r="B23" s="44" t="n">
        <v>620</v>
      </c>
      <c r="C23" s="44" t="n">
        <v>930</v>
      </c>
      <c r="D23" s="44" t="n">
        <v>1180</v>
      </c>
      <c r="E23" s="9" t="s">
        <v>206</v>
      </c>
      <c r="F23" s="9"/>
    </row>
    <row r="24" customFormat="false" ht="15" hidden="false" customHeight="false" outlineLevel="0" collapsed="false">
      <c r="A24" s="5" t="s">
        <v>207</v>
      </c>
      <c r="B24" s="45" t="n">
        <v>130</v>
      </c>
      <c r="C24" s="45" t="n">
        <v>185</v>
      </c>
      <c r="D24" s="45" t="n">
        <v>200</v>
      </c>
      <c r="E24" s="5" t="s">
        <v>208</v>
      </c>
      <c r="F24" s="5"/>
    </row>
    <row r="25" customFormat="false" ht="15" hidden="false" customHeight="false" outlineLevel="0" collapsed="false">
      <c r="A25" s="9" t="s">
        <v>209</v>
      </c>
      <c r="B25" s="44" t="n">
        <v>45</v>
      </c>
      <c r="C25" s="44" t="n">
        <v>130</v>
      </c>
      <c r="D25" s="44" t="n">
        <v>170</v>
      </c>
      <c r="E25" s="9" t="s">
        <v>210</v>
      </c>
      <c r="F25" s="9"/>
    </row>
    <row r="26" customFormat="false" ht="15" hidden="false" customHeight="false" outlineLevel="0" collapsed="false">
      <c r="A26" s="5" t="s">
        <v>211</v>
      </c>
      <c r="B26" s="8"/>
      <c r="C26" s="8"/>
      <c r="D26" s="45" t="n">
        <v>380</v>
      </c>
      <c r="E26" s="5" t="s">
        <v>212</v>
      </c>
      <c r="F26" s="5"/>
    </row>
    <row r="27" customFormat="false" ht="15" hidden="false" customHeight="false" outlineLevel="0" collapsed="false">
      <c r="A27" s="49" t="s">
        <v>213</v>
      </c>
      <c r="B27" s="50" t="n">
        <f aca="false">SUM(B22:B26)</f>
        <v>813</v>
      </c>
      <c r="C27" s="50" t="n">
        <f aca="false">SUM(C22:C26)</f>
        <v>1515</v>
      </c>
      <c r="D27" s="50" t="n">
        <f aca="false">SUM(D22:D26)</f>
        <v>2240</v>
      </c>
      <c r="E27" s="49"/>
      <c r="F27" s="49"/>
    </row>
    <row r="29" customFormat="false" ht="15" hidden="false" customHeight="false" outlineLevel="0" collapsed="false">
      <c r="A29" s="51" t="s">
        <v>214</v>
      </c>
    </row>
  </sheetData>
  <mergeCells count="5">
    <mergeCell ref="A1:H1"/>
    <mergeCell ref="A2:H2"/>
    <mergeCell ref="A4:F4"/>
    <mergeCell ref="A12:F12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36"/>
  </cols>
  <sheetData>
    <row r="1" customFormat="false" ht="19.7" hidden="false" customHeight="false" outlineLevel="0" collapsed="false">
      <c r="A1" s="1" t="s">
        <v>215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216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217</v>
      </c>
      <c r="C4" s="3" t="s">
        <v>218</v>
      </c>
      <c r="D4" s="3" t="s">
        <v>219</v>
      </c>
      <c r="E4" s="3" t="s">
        <v>9</v>
      </c>
    </row>
    <row r="5" customFormat="false" ht="15" hidden="false" customHeight="false" outlineLevel="0" collapsed="false">
      <c r="A5" s="5" t="s">
        <v>220</v>
      </c>
      <c r="B5" s="52" t="s">
        <v>221</v>
      </c>
      <c r="C5" s="52" t="s">
        <v>222</v>
      </c>
      <c r="D5" s="52" t="s">
        <v>223</v>
      </c>
      <c r="E5" s="5" t="s">
        <v>224</v>
      </c>
    </row>
    <row r="6" customFormat="false" ht="15" hidden="false" customHeight="false" outlineLevel="0" collapsed="false">
      <c r="A6" s="9" t="s">
        <v>225</v>
      </c>
      <c r="B6" s="53" t="s">
        <v>226</v>
      </c>
      <c r="C6" s="53" t="s">
        <v>227</v>
      </c>
      <c r="D6" s="53" t="s">
        <v>228</v>
      </c>
      <c r="E6" s="9" t="s">
        <v>229</v>
      </c>
    </row>
    <row r="7" customFormat="false" ht="15" hidden="false" customHeight="false" outlineLevel="0" collapsed="false">
      <c r="A7" s="5" t="s">
        <v>230</v>
      </c>
      <c r="B7" s="52" t="s">
        <v>231</v>
      </c>
      <c r="C7" s="52" t="s">
        <v>232</v>
      </c>
      <c r="D7" s="52" t="s">
        <v>233</v>
      </c>
      <c r="E7" s="5" t="s">
        <v>234</v>
      </c>
    </row>
    <row r="8" customFormat="false" ht="15" hidden="false" customHeight="false" outlineLevel="0" collapsed="false">
      <c r="A8" s="9" t="s">
        <v>235</v>
      </c>
      <c r="B8" s="53" t="s">
        <v>236</v>
      </c>
      <c r="C8" s="53" t="s">
        <v>237</v>
      </c>
      <c r="D8" s="53" t="s">
        <v>238</v>
      </c>
      <c r="E8" s="9" t="s">
        <v>239</v>
      </c>
    </row>
    <row r="9" customFormat="false" ht="15" hidden="false" customHeight="false" outlineLevel="0" collapsed="false">
      <c r="A9" s="5" t="s">
        <v>240</v>
      </c>
      <c r="B9" s="52" t="s">
        <v>241</v>
      </c>
      <c r="C9" s="52" t="s">
        <v>242</v>
      </c>
      <c r="D9" s="52" t="s">
        <v>243</v>
      </c>
      <c r="E9" s="5" t="s">
        <v>244</v>
      </c>
    </row>
    <row r="10" customFormat="false" ht="15" hidden="false" customHeight="false" outlineLevel="0" collapsed="false">
      <c r="A10" s="9" t="s">
        <v>245</v>
      </c>
      <c r="B10" s="54" t="s">
        <v>246</v>
      </c>
      <c r="C10" s="55" t="s">
        <v>247</v>
      </c>
      <c r="D10" s="52" t="s">
        <v>248</v>
      </c>
      <c r="E10" s="9" t="s">
        <v>249</v>
      </c>
    </row>
    <row r="11" customFormat="false" ht="15" hidden="false" customHeight="false" outlineLevel="0" collapsed="false">
      <c r="A11" s="5" t="s">
        <v>250</v>
      </c>
      <c r="B11" s="52" t="s">
        <v>102</v>
      </c>
      <c r="C11" s="52" t="s">
        <v>251</v>
      </c>
      <c r="D11" s="52" t="s">
        <v>252</v>
      </c>
      <c r="E11" s="5" t="s">
        <v>253</v>
      </c>
    </row>
    <row r="12" customFormat="false" ht="15" hidden="false" customHeight="false" outlineLevel="0" collapsed="false">
      <c r="A12" s="9" t="s">
        <v>91</v>
      </c>
      <c r="B12" s="53" t="s">
        <v>254</v>
      </c>
      <c r="C12" s="53" t="s">
        <v>255</v>
      </c>
      <c r="D12" s="53" t="s">
        <v>256</v>
      </c>
      <c r="E12" s="9" t="s">
        <v>257</v>
      </c>
    </row>
    <row r="13" customFormat="false" ht="15" hidden="false" customHeight="false" outlineLevel="0" collapsed="false">
      <c r="A13" s="19" t="s">
        <v>258</v>
      </c>
      <c r="B13" s="54" t="s">
        <v>259</v>
      </c>
      <c r="C13" s="54" t="s">
        <v>102</v>
      </c>
      <c r="D13" s="54" t="s">
        <v>102</v>
      </c>
      <c r="E13" s="19" t="s">
        <v>260</v>
      </c>
    </row>
    <row r="14" customFormat="false" ht="15" hidden="false" customHeight="false" outlineLevel="0" collapsed="false">
      <c r="A14" s="9" t="s">
        <v>261</v>
      </c>
      <c r="B14" s="53" t="s">
        <v>262</v>
      </c>
      <c r="C14" s="53" t="s">
        <v>263</v>
      </c>
      <c r="D14" s="53" t="s">
        <v>264</v>
      </c>
      <c r="E14" s="9" t="s">
        <v>265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36"/>
  </cols>
  <sheetData>
    <row r="1" customFormat="false" ht="19.7" hidden="false" customHeight="false" outlineLevel="0" collapsed="false">
      <c r="A1" s="1" t="s">
        <v>266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267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268</v>
      </c>
      <c r="B4" s="3" t="s">
        <v>67</v>
      </c>
      <c r="C4" s="3" t="s">
        <v>68</v>
      </c>
      <c r="D4" s="3" t="s">
        <v>269</v>
      </c>
    </row>
    <row r="5" customFormat="false" ht="15" hidden="false" customHeight="false" outlineLevel="0" collapsed="false">
      <c r="A5" s="56" t="s">
        <v>270</v>
      </c>
      <c r="B5" s="8" t="n">
        <v>119.6</v>
      </c>
      <c r="C5" s="5" t="s">
        <v>271</v>
      </c>
      <c r="D5" s="5" t="s">
        <v>272</v>
      </c>
    </row>
    <row r="6" customFormat="false" ht="15" hidden="false" customHeight="false" outlineLevel="0" collapsed="false">
      <c r="A6" s="57" t="s">
        <v>273</v>
      </c>
      <c r="B6" s="12" t="n">
        <v>24.8</v>
      </c>
      <c r="C6" s="9" t="s">
        <v>271</v>
      </c>
      <c r="D6" s="9" t="s">
        <v>274</v>
      </c>
    </row>
    <row r="7" customFormat="false" ht="15" hidden="false" customHeight="false" outlineLevel="0" collapsed="false">
      <c r="A7" s="56" t="s">
        <v>275</v>
      </c>
      <c r="B7" s="17" t="n">
        <v>0.207</v>
      </c>
      <c r="C7" s="5" t="s">
        <v>78</v>
      </c>
      <c r="D7" s="5" t="s">
        <v>276</v>
      </c>
    </row>
    <row r="8" customFormat="false" ht="15" hidden="false" customHeight="false" outlineLevel="0" collapsed="false">
      <c r="A8" s="57" t="s">
        <v>277</v>
      </c>
      <c r="B8" s="12" t="n">
        <v>7.17</v>
      </c>
      <c r="C8" s="9" t="s">
        <v>271</v>
      </c>
      <c r="D8" s="9" t="s">
        <v>278</v>
      </c>
    </row>
    <row r="9" customFormat="false" ht="15" hidden="false" customHeight="false" outlineLevel="0" collapsed="false">
      <c r="A9" s="56" t="s">
        <v>279</v>
      </c>
      <c r="B9" s="17" t="n">
        <v>0.06</v>
      </c>
      <c r="C9" s="5" t="s">
        <v>78</v>
      </c>
      <c r="D9" s="5" t="s">
        <v>280</v>
      </c>
    </row>
    <row r="10" customFormat="false" ht="15" hidden="false" customHeight="false" outlineLevel="0" collapsed="false">
      <c r="A10" s="57" t="s">
        <v>281</v>
      </c>
      <c r="B10" s="12" t="n">
        <v>2.81</v>
      </c>
      <c r="C10" s="9" t="s">
        <v>271</v>
      </c>
      <c r="D10" s="9" t="s">
        <v>282</v>
      </c>
    </row>
    <row r="11" customFormat="false" ht="15" hidden="false" customHeight="false" outlineLevel="0" collapsed="false">
      <c r="A11" s="56" t="s">
        <v>283</v>
      </c>
      <c r="B11" s="17" t="n">
        <v>0.53</v>
      </c>
      <c r="C11" s="5" t="s">
        <v>78</v>
      </c>
      <c r="D11" s="5" t="s">
        <v>284</v>
      </c>
    </row>
    <row r="12" customFormat="false" ht="15" hidden="false" customHeight="false" outlineLevel="0" collapsed="false">
      <c r="A12" s="57" t="s">
        <v>285</v>
      </c>
      <c r="B12" s="12" t="n">
        <v>3870</v>
      </c>
      <c r="C12" s="9" t="s">
        <v>84</v>
      </c>
      <c r="D12" s="9" t="s">
        <v>286</v>
      </c>
    </row>
    <row r="13" customFormat="false" ht="15" hidden="false" customHeight="false" outlineLevel="0" collapsed="false">
      <c r="A13" s="56" t="s">
        <v>287</v>
      </c>
      <c r="B13" s="8" t="n">
        <v>1240</v>
      </c>
      <c r="C13" s="5" t="s">
        <v>84</v>
      </c>
      <c r="D13" s="5" t="s">
        <v>288</v>
      </c>
    </row>
    <row r="14" customFormat="false" ht="15" hidden="false" customHeight="false" outlineLevel="0" collapsed="false">
      <c r="A14" s="57" t="s">
        <v>289</v>
      </c>
      <c r="B14" s="18" t="n">
        <v>0.024</v>
      </c>
      <c r="C14" s="9" t="s">
        <v>78</v>
      </c>
      <c r="D14" s="9" t="s">
        <v>290</v>
      </c>
    </row>
    <row r="15" customFormat="false" ht="15" hidden="false" customHeight="false" outlineLevel="0" collapsed="false">
      <c r="A15" s="56" t="s">
        <v>291</v>
      </c>
      <c r="B15" s="17" t="n">
        <v>0.031</v>
      </c>
      <c r="C15" s="5" t="s">
        <v>78</v>
      </c>
      <c r="D15" s="5" t="s">
        <v>292</v>
      </c>
    </row>
    <row r="16" customFormat="false" ht="15" hidden="false" customHeight="false" outlineLevel="0" collapsed="false">
      <c r="A16" s="57" t="s">
        <v>293</v>
      </c>
      <c r="B16" s="18" t="n">
        <v>0.226</v>
      </c>
      <c r="C16" s="9" t="s">
        <v>78</v>
      </c>
      <c r="D16" s="9" t="s">
        <v>294</v>
      </c>
    </row>
    <row r="17" customFormat="false" ht="15" hidden="false" customHeight="false" outlineLevel="0" collapsed="false">
      <c r="A17" s="56" t="s">
        <v>295</v>
      </c>
      <c r="B17" s="8" t="n">
        <v>7200</v>
      </c>
      <c r="C17" s="5" t="s">
        <v>84</v>
      </c>
      <c r="D17" s="5" t="s">
        <v>296</v>
      </c>
    </row>
    <row r="18" customFormat="false" ht="15" hidden="false" customHeight="false" outlineLevel="0" collapsed="false">
      <c r="A18" s="57" t="s">
        <v>297</v>
      </c>
      <c r="B18" s="12" t="n">
        <v>8640</v>
      </c>
      <c r="C18" s="9" t="s">
        <v>84</v>
      </c>
      <c r="D18" s="9" t="s">
        <v>298</v>
      </c>
    </row>
    <row r="19" customFormat="false" ht="15" hidden="false" customHeight="false" outlineLevel="0" collapsed="false">
      <c r="A19" s="56" t="s">
        <v>299</v>
      </c>
      <c r="B19" s="8" t="n">
        <v>680</v>
      </c>
      <c r="C19" s="5" t="s">
        <v>84</v>
      </c>
      <c r="D19" s="5" t="s">
        <v>300</v>
      </c>
    </row>
    <row r="20" customFormat="false" ht="15" hidden="false" customHeight="false" outlineLevel="0" collapsed="false">
      <c r="A20" s="57" t="s">
        <v>301</v>
      </c>
      <c r="B20" s="12" t="n">
        <v>6400000</v>
      </c>
      <c r="C20" s="9" t="s">
        <v>73</v>
      </c>
      <c r="D20" s="9" t="s">
        <v>72</v>
      </c>
    </row>
    <row r="21" customFormat="false" ht="15" hidden="false" customHeight="false" outlineLevel="0" collapsed="false">
      <c r="A21" s="56" t="s">
        <v>302</v>
      </c>
      <c r="B21" s="17" t="n">
        <v>0.38</v>
      </c>
      <c r="C21" s="5" t="s">
        <v>78</v>
      </c>
      <c r="D21" s="5" t="s">
        <v>77</v>
      </c>
    </row>
    <row r="22" customFormat="false" ht="15" hidden="false" customHeight="false" outlineLevel="0" collapsed="false">
      <c r="A22" s="57" t="s">
        <v>303</v>
      </c>
      <c r="B22" s="18" t="n">
        <v>0.031</v>
      </c>
      <c r="C22" s="9" t="s">
        <v>78</v>
      </c>
      <c r="D22" s="9" t="s">
        <v>304</v>
      </c>
    </row>
    <row r="23" customFormat="false" ht="15" hidden="false" customHeight="false" outlineLevel="0" collapsed="false">
      <c r="A23" s="56" t="s">
        <v>305</v>
      </c>
      <c r="B23" s="8" t="n">
        <v>41</v>
      </c>
      <c r="C23" s="5" t="s">
        <v>92</v>
      </c>
      <c r="D23" s="5" t="s">
        <v>91</v>
      </c>
    </row>
    <row r="24" customFormat="false" ht="15" hidden="false" customHeight="false" outlineLevel="0" collapsed="false">
      <c r="A24" s="57" t="s">
        <v>306</v>
      </c>
      <c r="B24" s="12" t="n">
        <v>340</v>
      </c>
      <c r="C24" s="9" t="s">
        <v>307</v>
      </c>
      <c r="D24" s="9" t="s">
        <v>308</v>
      </c>
    </row>
    <row r="25" customFormat="false" ht="15" hidden="false" customHeight="false" outlineLevel="0" collapsed="false">
      <c r="A25" s="56" t="s">
        <v>309</v>
      </c>
      <c r="B25" s="8" t="n">
        <v>238</v>
      </c>
      <c r="C25" s="5" t="s">
        <v>307</v>
      </c>
      <c r="D25" s="5" t="s">
        <v>310</v>
      </c>
    </row>
    <row r="26" customFormat="false" ht="15" hidden="false" customHeight="false" outlineLevel="0" collapsed="false">
      <c r="A26" s="57" t="s">
        <v>311</v>
      </c>
      <c r="B26" s="12" t="n">
        <v>10</v>
      </c>
      <c r="C26" s="9" t="s">
        <v>312</v>
      </c>
      <c r="D26" s="9" t="s">
        <v>313</v>
      </c>
    </row>
    <row r="27" customFormat="false" ht="15" hidden="false" customHeight="false" outlineLevel="0" collapsed="false">
      <c r="A27" s="56" t="s">
        <v>314</v>
      </c>
      <c r="B27" s="8" t="n">
        <v>16</v>
      </c>
      <c r="C27" s="5" t="s">
        <v>312</v>
      </c>
      <c r="D27" s="5" t="s">
        <v>315</v>
      </c>
    </row>
    <row r="28" customFormat="false" ht="15" hidden="false" customHeight="false" outlineLevel="0" collapsed="false">
      <c r="A28" s="57" t="s">
        <v>316</v>
      </c>
      <c r="B28" s="12" t="n">
        <v>21</v>
      </c>
      <c r="C28" s="9" t="s">
        <v>312</v>
      </c>
      <c r="D28" s="9" t="s">
        <v>317</v>
      </c>
    </row>
    <row r="29" customFormat="false" ht="15" hidden="false" customHeight="false" outlineLevel="0" collapsed="false">
      <c r="A29" s="56" t="s">
        <v>318</v>
      </c>
      <c r="B29" s="8" t="n">
        <v>480</v>
      </c>
      <c r="C29" s="5" t="s">
        <v>307</v>
      </c>
      <c r="D29" s="5" t="s">
        <v>319</v>
      </c>
    </row>
    <row r="30" customFormat="false" ht="15" hidden="false" customHeight="false" outlineLevel="0" collapsed="false">
      <c r="A30" s="57" t="s">
        <v>320</v>
      </c>
      <c r="B30" s="12" t="n">
        <v>310</v>
      </c>
      <c r="C30" s="9" t="s">
        <v>307</v>
      </c>
      <c r="D30" s="9" t="s">
        <v>321</v>
      </c>
    </row>
    <row r="31" customFormat="false" ht="15" hidden="false" customHeight="false" outlineLevel="0" collapsed="false">
      <c r="A31" s="56" t="s">
        <v>322</v>
      </c>
      <c r="B31" s="8" t="n">
        <v>215</v>
      </c>
      <c r="C31" s="5" t="s">
        <v>307</v>
      </c>
      <c r="D31" s="5" t="s">
        <v>323</v>
      </c>
    </row>
    <row r="32" customFormat="false" ht="15" hidden="false" customHeight="false" outlineLevel="0" collapsed="false">
      <c r="A32" s="57" t="s">
        <v>324</v>
      </c>
      <c r="B32" s="47" t="n">
        <v>3.8</v>
      </c>
      <c r="C32" s="9" t="s">
        <v>325</v>
      </c>
      <c r="D32" s="9" t="s">
        <v>326</v>
      </c>
    </row>
    <row r="33" customFormat="false" ht="15" hidden="false" customHeight="false" outlineLevel="0" collapsed="false">
      <c r="A33" s="56" t="s">
        <v>327</v>
      </c>
      <c r="B33" s="58" t="n">
        <v>2.3</v>
      </c>
      <c r="C33" s="5" t="s">
        <v>325</v>
      </c>
      <c r="D33" s="5" t="s">
        <v>328</v>
      </c>
    </row>
    <row r="34" customFormat="false" ht="15" hidden="false" customHeight="false" outlineLevel="0" collapsed="false">
      <c r="A34" s="57" t="s">
        <v>329</v>
      </c>
      <c r="B34" s="18" t="n">
        <v>0.95</v>
      </c>
      <c r="C34" s="9" t="s">
        <v>78</v>
      </c>
      <c r="D34" s="9" t="s">
        <v>330</v>
      </c>
    </row>
    <row r="35" customFormat="false" ht="15" hidden="false" customHeight="false" outlineLevel="0" collapsed="false">
      <c r="A35" s="56" t="s">
        <v>331</v>
      </c>
      <c r="B35" s="17" t="n">
        <v>0.948</v>
      </c>
      <c r="C35" s="5" t="s">
        <v>78</v>
      </c>
      <c r="D35" s="5" t="s">
        <v>332</v>
      </c>
    </row>
    <row r="36" customFormat="false" ht="15" hidden="false" customHeight="false" outlineLevel="0" collapsed="false">
      <c r="A36" s="57" t="s">
        <v>333</v>
      </c>
      <c r="B36" s="18" t="n">
        <v>0.92</v>
      </c>
      <c r="C36" s="9" t="s">
        <v>78</v>
      </c>
      <c r="D36" s="9" t="s">
        <v>334</v>
      </c>
    </row>
    <row r="37" customFormat="false" ht="15" hidden="false" customHeight="false" outlineLevel="0" collapsed="false">
      <c r="A37" s="56" t="s">
        <v>335</v>
      </c>
      <c r="B37" s="8" t="n">
        <v>90</v>
      </c>
      <c r="C37" s="5" t="s">
        <v>336</v>
      </c>
      <c r="D37" s="5" t="s">
        <v>337</v>
      </c>
    </row>
    <row r="38" customFormat="false" ht="15" hidden="false" customHeight="false" outlineLevel="0" collapsed="false">
      <c r="A38" s="57" t="s">
        <v>338</v>
      </c>
      <c r="B38" s="18" t="n">
        <v>0.035</v>
      </c>
      <c r="C38" s="9" t="s">
        <v>78</v>
      </c>
      <c r="D38" s="9" t="s">
        <v>339</v>
      </c>
    </row>
    <row r="39" customFormat="false" ht="15" hidden="false" customHeight="false" outlineLevel="0" collapsed="false">
      <c r="A39" s="56" t="s">
        <v>340</v>
      </c>
      <c r="B39" s="17" t="n">
        <v>0.041</v>
      </c>
      <c r="C39" s="5" t="s">
        <v>78</v>
      </c>
      <c r="D39" s="5" t="s">
        <v>341</v>
      </c>
    </row>
    <row r="40" customFormat="false" ht="15" hidden="false" customHeight="false" outlineLevel="0" collapsed="false">
      <c r="A40" s="57" t="s">
        <v>342</v>
      </c>
      <c r="B40" s="18" t="n">
        <v>0.063</v>
      </c>
      <c r="C40" s="9" t="s">
        <v>78</v>
      </c>
      <c r="D40" s="9" t="s">
        <v>343</v>
      </c>
    </row>
    <row r="41" customFormat="false" ht="15" hidden="false" customHeight="false" outlineLevel="0" collapsed="false">
      <c r="A41" s="56" t="s">
        <v>344</v>
      </c>
      <c r="B41" s="8" t="n">
        <v>150</v>
      </c>
      <c r="C41" s="5" t="s">
        <v>336</v>
      </c>
      <c r="D41" s="5" t="s">
        <v>345</v>
      </c>
    </row>
    <row r="42" customFormat="false" ht="15" hidden="false" customHeight="false" outlineLevel="0" collapsed="false">
      <c r="A42" s="57" t="s">
        <v>346</v>
      </c>
      <c r="B42" s="18" t="n">
        <v>0.83</v>
      </c>
      <c r="C42" s="9" t="s">
        <v>78</v>
      </c>
      <c r="D42" s="9" t="s">
        <v>347</v>
      </c>
    </row>
    <row r="43" customFormat="false" ht="15" hidden="false" customHeight="false" outlineLevel="0" collapsed="false">
      <c r="A43" s="56" t="s">
        <v>348</v>
      </c>
      <c r="B43" s="17" t="n">
        <v>0.99</v>
      </c>
      <c r="C43" s="5" t="s">
        <v>78</v>
      </c>
      <c r="D43" s="5" t="s">
        <v>349</v>
      </c>
    </row>
    <row r="44" customFormat="false" ht="15" hidden="false" customHeight="false" outlineLevel="0" collapsed="false">
      <c r="A44" s="57" t="s">
        <v>350</v>
      </c>
      <c r="B44" s="18" t="n">
        <v>0.012</v>
      </c>
      <c r="C44" s="9" t="s">
        <v>78</v>
      </c>
      <c r="D44" s="9" t="s">
        <v>351</v>
      </c>
    </row>
    <row r="45" customFormat="false" ht="15" hidden="false" customHeight="false" outlineLevel="0" collapsed="false">
      <c r="A45" s="56" t="s">
        <v>352</v>
      </c>
      <c r="B45" s="17" t="n">
        <v>0.0131</v>
      </c>
      <c r="C45" s="5" t="s">
        <v>78</v>
      </c>
      <c r="D45" s="5" t="s">
        <v>353</v>
      </c>
    </row>
    <row r="46" customFormat="false" ht="15" hidden="false" customHeight="false" outlineLevel="0" collapsed="false">
      <c r="A46" s="57" t="s">
        <v>354</v>
      </c>
      <c r="B46" s="12" t="n">
        <v>813</v>
      </c>
      <c r="C46" s="9" t="s">
        <v>336</v>
      </c>
      <c r="D46" s="9" t="s">
        <v>355</v>
      </c>
    </row>
    <row r="47" customFormat="false" ht="15" hidden="false" customHeight="false" outlineLevel="0" collapsed="false">
      <c r="A47" s="56" t="s">
        <v>356</v>
      </c>
      <c r="B47" s="8" t="n">
        <v>1515</v>
      </c>
      <c r="C47" s="5" t="s">
        <v>336</v>
      </c>
      <c r="D47" s="5" t="s">
        <v>357</v>
      </c>
    </row>
    <row r="48" customFormat="false" ht="15" hidden="false" customHeight="false" outlineLevel="0" collapsed="false">
      <c r="A48" s="57" t="s">
        <v>358</v>
      </c>
      <c r="B48" s="12" t="n">
        <v>0.412</v>
      </c>
      <c r="C48" s="9"/>
      <c r="D48" s="9" t="s">
        <v>359</v>
      </c>
    </row>
    <row r="49" customFormat="false" ht="15" hidden="false" customHeight="false" outlineLevel="0" collapsed="false">
      <c r="A49" s="56" t="s">
        <v>360</v>
      </c>
      <c r="B49" s="8" t="n">
        <v>0.341</v>
      </c>
      <c r="C49" s="5"/>
      <c r="D49" s="5" t="s">
        <v>361</v>
      </c>
    </row>
    <row r="50" customFormat="false" ht="15" hidden="false" customHeight="false" outlineLevel="0" collapsed="false">
      <c r="A50" s="57" t="s">
        <v>362</v>
      </c>
      <c r="B50" s="18" t="n">
        <v>0.228</v>
      </c>
      <c r="C50" s="9" t="s">
        <v>78</v>
      </c>
      <c r="D50" s="9" t="s">
        <v>363</v>
      </c>
    </row>
    <row r="51" customFormat="false" ht="15" hidden="false" customHeight="false" outlineLevel="0" collapsed="false">
      <c r="A51" s="56" t="s">
        <v>364</v>
      </c>
      <c r="B51" s="17" t="n">
        <v>0.32</v>
      </c>
      <c r="C51" s="5" t="s">
        <v>78</v>
      </c>
      <c r="D51" s="5" t="s">
        <v>365</v>
      </c>
    </row>
    <row r="52" customFormat="false" ht="15" hidden="false" customHeight="false" outlineLevel="0" collapsed="false">
      <c r="A52" s="57" t="s">
        <v>366</v>
      </c>
      <c r="B52" s="18" t="n">
        <v>0.4</v>
      </c>
      <c r="C52" s="9" t="s">
        <v>78</v>
      </c>
      <c r="D52" s="9" t="s">
        <v>367</v>
      </c>
    </row>
    <row r="53" customFormat="false" ht="15" hidden="false" customHeight="false" outlineLevel="0" collapsed="false">
      <c r="A53" s="56" t="s">
        <v>368</v>
      </c>
      <c r="B53" s="8" t="n">
        <v>4.2</v>
      </c>
      <c r="C53" s="5" t="s">
        <v>369</v>
      </c>
      <c r="D53" s="5" t="s">
        <v>370</v>
      </c>
    </row>
    <row r="54" customFormat="false" ht="15" hidden="false" customHeight="false" outlineLevel="0" collapsed="false">
      <c r="A54" s="57" t="s">
        <v>371</v>
      </c>
      <c r="B54" s="18" t="n">
        <v>0.083</v>
      </c>
      <c r="C54" s="9" t="s">
        <v>78</v>
      </c>
      <c r="D54" s="9" t="s">
        <v>372</v>
      </c>
    </row>
    <row r="55" customFormat="false" ht="15" hidden="false" customHeight="false" outlineLevel="0" collapsed="false">
      <c r="A55" s="56" t="s">
        <v>373</v>
      </c>
      <c r="B55" s="17" t="n">
        <v>0.112</v>
      </c>
      <c r="C55" s="5" t="s">
        <v>78</v>
      </c>
      <c r="D55" s="5" t="s">
        <v>374</v>
      </c>
    </row>
    <row r="56" customFormat="false" ht="15" hidden="false" customHeight="false" outlineLevel="0" collapsed="false">
      <c r="A56" s="57" t="s">
        <v>375</v>
      </c>
      <c r="B56" s="12" t="s">
        <v>376</v>
      </c>
      <c r="C56" s="9"/>
      <c r="D56" s="9" t="s">
        <v>377</v>
      </c>
    </row>
    <row r="57" customFormat="false" ht="15" hidden="false" customHeight="false" outlineLevel="0" collapsed="false">
      <c r="A57" s="56" t="s">
        <v>378</v>
      </c>
      <c r="B57" s="8" t="n">
        <v>0.028</v>
      </c>
      <c r="C57" s="5" t="s">
        <v>379</v>
      </c>
      <c r="D57" s="5" t="s">
        <v>380</v>
      </c>
    </row>
    <row r="58" customFormat="false" ht="15" hidden="false" customHeight="false" outlineLevel="0" collapsed="false">
      <c r="A58" s="57" t="s">
        <v>381</v>
      </c>
      <c r="B58" s="12" t="s">
        <v>382</v>
      </c>
      <c r="C58" s="9" t="s">
        <v>312</v>
      </c>
      <c r="D58" s="9" t="s">
        <v>383</v>
      </c>
    </row>
    <row r="59" customFormat="false" ht="15" hidden="false" customHeight="false" outlineLevel="0" collapsed="false">
      <c r="A59" s="56" t="s">
        <v>384</v>
      </c>
      <c r="B59" s="8" t="s">
        <v>385</v>
      </c>
      <c r="C59" s="5" t="s">
        <v>386</v>
      </c>
      <c r="D59" s="5" t="s">
        <v>387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2026-03-12T16:58:30Z</dcterms:created>
  <dc:creator>openpyxl</dc:creator>
  <dc:description/>
  <dc:language>en-US</dc:language>
  <cp:lastModifiedBy/>
  <dcterms:modified xsi:type="dcterms:W3CDTF">2026-03-12T16:58:30Z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